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ilam\elv\backend\src\main\resources\templates\"/>
    </mc:Choice>
  </mc:AlternateContent>
  <bookViews>
    <workbookView xWindow="0" yWindow="0" windowWidth="23040" windowHeight="9192" activeTab="2"/>
  </bookViews>
  <sheets>
    <sheet name="BOQ" sheetId="1" r:id="rId1"/>
    <sheet name="BOM" sheetId="2" r:id="rId2"/>
    <sheet name="tính cáp" sheetId="3" r:id="rId3"/>
    <sheet name="PTLL (2)" sheetId="4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?" localSheetId="3">#REF!</definedName>
    <definedName name="_??????" localSheetId="3">#REF!</definedName>
    <definedName name="__abb91" localSheetId="3">[1]chitimc!#REF!</definedName>
    <definedName name="__CT250" localSheetId="3">'[1]dongia (2)'!#REF!</definedName>
    <definedName name="__ddn400" localSheetId="3">#REF!</definedName>
    <definedName name="__ddn600" localSheetId="3">#REF!</definedName>
    <definedName name="__dgt100" localSheetId="3">'[1]dongia (2)'!#REF!</definedName>
    <definedName name="__MAC12" localSheetId="3">#REF!</definedName>
    <definedName name="__MAC46" localSheetId="3">#REF!</definedName>
    <definedName name="__NCL100" localSheetId="3">#REF!</definedName>
    <definedName name="__NCL200" localSheetId="3">#REF!</definedName>
    <definedName name="__NCL250" localSheetId="3">#REF!</definedName>
    <definedName name="__nin190" localSheetId="3">[2]VC!#REF!</definedName>
    <definedName name="__sc1" localSheetId="3">#REF!</definedName>
    <definedName name="__SC2" localSheetId="3">#REF!</definedName>
    <definedName name="__sc3" localSheetId="3">[2]VC!#REF!</definedName>
    <definedName name="__SN3" localSheetId="3">#REF!</definedName>
    <definedName name="__th100" localSheetId="3">'[1]dongia (2)'!#REF!</definedName>
    <definedName name="__TH160" localSheetId="3">'[1]dongia (2)'!#REF!</definedName>
    <definedName name="__TL1" localSheetId="3">#REF!</definedName>
    <definedName name="__TL2" localSheetId="3">#REF!</definedName>
    <definedName name="__TL3" localSheetId="3">#REF!</definedName>
    <definedName name="__TLA120" localSheetId="3">#REF!</definedName>
    <definedName name="__TLA35" localSheetId="3">#REF!</definedName>
    <definedName name="__TLA50" localSheetId="3">#REF!</definedName>
    <definedName name="__TLA70" localSheetId="3">#REF!</definedName>
    <definedName name="__TLA95" localSheetId="3">#REF!</definedName>
    <definedName name="__TR250" localSheetId="3">'[1]dongia (2)'!#REF!</definedName>
    <definedName name="__tr375" localSheetId="3">[1]giathanh1!#REF!</definedName>
    <definedName name="__VL100" localSheetId="3">#REF!</definedName>
    <definedName name="__VL200" localSheetId="3">#REF!</definedName>
    <definedName name="_1_?" localSheetId="3">#REF!</definedName>
    <definedName name="_2_??????" localSheetId="3">#REF!</definedName>
    <definedName name="_abb91" localSheetId="3">[1]chitimc!#REF!</definedName>
    <definedName name="_CT250" localSheetId="3">'[1]dongia (2)'!#REF!</definedName>
    <definedName name="_ddn400" localSheetId="3">#REF!</definedName>
    <definedName name="_ddn600" localSheetId="3">#REF!</definedName>
    <definedName name="_dgt100" localSheetId="3">'[1]dongia (2)'!#REF!</definedName>
    <definedName name="_Fill" localSheetId="1" hidden="1">#REF!</definedName>
    <definedName name="_Fill" localSheetId="3" hidden="1">#REF!</definedName>
    <definedName name="_Fill" hidden="1">#REF!</definedName>
    <definedName name="_Key1" localSheetId="1" hidden="1">#REF!</definedName>
    <definedName name="_Key1" localSheetId="3" hidden="1">#REF!</definedName>
    <definedName name="_Key1" hidden="1">#REF!</definedName>
    <definedName name="_Key2" localSheetId="1" hidden="1">#REF!</definedName>
    <definedName name="_Key2" localSheetId="3" hidden="1">#REF!</definedName>
    <definedName name="_Key2" hidden="1">#REF!</definedName>
    <definedName name="_MAC12" localSheetId="3">#REF!</definedName>
    <definedName name="_MAC46" localSheetId="3">#REF!</definedName>
    <definedName name="_NCL100" localSheetId="3">#REF!</definedName>
    <definedName name="_NCL200" localSheetId="3">#REF!</definedName>
    <definedName name="_NCL250" localSheetId="3">#REF!</definedName>
    <definedName name="_nin190" localSheetId="3">[3]VC!#REF!</definedName>
    <definedName name="_Order1" hidden="1">255</definedName>
    <definedName name="_Order2" hidden="1">255</definedName>
    <definedName name="_sc1" localSheetId="3">#REF!</definedName>
    <definedName name="_SC2" localSheetId="3">#REF!</definedName>
    <definedName name="_sc3" localSheetId="3">[3]VC!#REF!</definedName>
    <definedName name="_SN3" localSheetId="3">#REF!</definedName>
    <definedName name="_Sort" localSheetId="1" hidden="1">#REF!</definedName>
    <definedName name="_Sort" localSheetId="3" hidden="1">#REF!</definedName>
    <definedName name="_Sort" hidden="1">#REF!</definedName>
    <definedName name="_th100" localSheetId="3">'[1]dongia (2)'!#REF!</definedName>
    <definedName name="_TH160" localSheetId="3">'[1]dongia (2)'!#REF!</definedName>
    <definedName name="_TL1" localSheetId="3">#REF!</definedName>
    <definedName name="_TL2" localSheetId="3">#REF!</definedName>
    <definedName name="_TL3" localSheetId="3">#REF!</definedName>
    <definedName name="_TLA120" localSheetId="3">#REF!</definedName>
    <definedName name="_TLA35" localSheetId="3">#REF!</definedName>
    <definedName name="_TLA50" localSheetId="3">#REF!</definedName>
    <definedName name="_TLA70" localSheetId="3">#REF!</definedName>
    <definedName name="_TLA95" localSheetId="3">#REF!</definedName>
    <definedName name="_TR250" localSheetId="3">'[1]dongia (2)'!#REF!</definedName>
    <definedName name="_tr375" localSheetId="3">[1]giathanh1!#REF!</definedName>
    <definedName name="_VL100" localSheetId="3">#REF!</definedName>
    <definedName name="_VL200" localSheetId="3">#REF!</definedName>
    <definedName name="_VL250" localSheetId="3">#REF!</definedName>
    <definedName name="A" localSheetId="3">#REF!</definedName>
    <definedName name="A120_" localSheetId="3">#REF!</definedName>
    <definedName name="A35_" localSheetId="3">#REF!</definedName>
    <definedName name="A50_" localSheetId="3">#REF!</definedName>
    <definedName name="A70_" localSheetId="3">#REF!</definedName>
    <definedName name="A95_" localSheetId="3">#REF!</definedName>
    <definedName name="AC120_" localSheetId="3">#REF!</definedName>
    <definedName name="AC35_" localSheetId="3">#REF!</definedName>
    <definedName name="AC50_" localSheetId="3">#REF!</definedName>
    <definedName name="AC70_" localSheetId="3">#REF!</definedName>
    <definedName name="AC95_" localSheetId="3">#REF!</definedName>
    <definedName name="ag142X42" localSheetId="3">[1]chitimc!#REF!</definedName>
    <definedName name="ag267N59" localSheetId="3">[1]chitimc!#REF!</definedName>
    <definedName name="as" localSheetId="3">#REF!</definedName>
    <definedName name="b" localSheetId="3">#REF!</definedName>
    <definedName name="b_240" localSheetId="3">'[1]THPDMoi  (2)'!#REF!</definedName>
    <definedName name="b_280" localSheetId="3">'[1]THPDMoi  (2)'!#REF!</definedName>
    <definedName name="b_320" localSheetId="3">'[1]THPDMoi  (2)'!#REF!</definedName>
    <definedName name="B33VNit" localSheetId="3">'[4]VT-NC'!#REF!</definedName>
    <definedName name="BangChu" localSheetId="3">#REF!</definedName>
    <definedName name="bangciti" localSheetId="3">'[1]dongia (2)'!#REF!</definedName>
    <definedName name="bdht15nc" localSheetId="3">#REF!</definedName>
    <definedName name="bdht15vl" localSheetId="3">#REF!</definedName>
    <definedName name="bdht25nc" localSheetId="3">#REF!</definedName>
    <definedName name="bdht25vl" localSheetId="3">#REF!</definedName>
    <definedName name="bdht325nc" localSheetId="3">#REF!</definedName>
    <definedName name="bdht325vl" localSheetId="3">#REF!</definedName>
    <definedName name="bia" localSheetId="3">#REF!</definedName>
    <definedName name="bm" localSheetId="3">#REF!</definedName>
    <definedName name="BuGia" localSheetId="3">#REF!</definedName>
    <definedName name="cam" localSheetId="3">#REF!</definedName>
    <definedName name="CCS" localSheetId="3">#REF!</definedName>
    <definedName name="cd" localSheetId="3">#REF!</definedName>
    <definedName name="CDD" localSheetId="3">#REF!</definedName>
    <definedName name="CDDD" localSheetId="3">'[1]THPDMoi  (2)'!#REF!</definedName>
    <definedName name="cgionc" localSheetId="3">'[1]lam-moi'!#REF!</definedName>
    <definedName name="cgiovl" localSheetId="3">'[1]lam-moi'!#REF!</definedName>
    <definedName name="ch" localSheetId="3">#REF!</definedName>
    <definedName name="chnc" localSheetId="3">[5]CHITIET!#REF!</definedName>
    <definedName name="chvl" localSheetId="3">[5]CHITIET!#REF!</definedName>
    <definedName name="citidd" localSheetId="3">'[1]dongia (2)'!#REF!</definedName>
    <definedName name="CK" localSheetId="3">#REF!</definedName>
    <definedName name="CLGia" localSheetId="3">#REF!</definedName>
    <definedName name="CLVCTB" localSheetId="3">#REF!</definedName>
    <definedName name="CLVL" localSheetId="3">[6]ctdg!#REF!</definedName>
    <definedName name="co" localSheetId="3">#REF!</definedName>
    <definedName name="Cöï_ly_vaän_chuyeãn" localSheetId="3">#REF!</definedName>
    <definedName name="CÖÏ_LY_VAÄN_CHUYEÅN" localSheetId="3">#REF!</definedName>
    <definedName name="cong1x15" localSheetId="3">[1]giathanh1!#REF!</definedName>
    <definedName name="CPVC100" localSheetId="3">#REF!</definedName>
    <definedName name="CRD" localSheetId="3">#REF!</definedName>
    <definedName name="CRS" localSheetId="3">#REF!</definedName>
    <definedName name="CS" localSheetId="3">#REF!</definedName>
    <definedName name="csd3p" localSheetId="3">#REF!</definedName>
    <definedName name="csddg1p" localSheetId="3">#REF!</definedName>
    <definedName name="csddt1p" localSheetId="3">#REF!</definedName>
    <definedName name="csht3p" localSheetId="3">#REF!</definedName>
    <definedName name="ctdg" localSheetId="3">[7]ctdg!#REF!</definedName>
    <definedName name="cti3x15" localSheetId="3">[1]giathanh1!#REF!</definedName>
    <definedName name="CTNHAP" localSheetId="3">#REF!</definedName>
    <definedName name="cu" localSheetId="3">#REF!</definedName>
    <definedName name="cw" localSheetId="3">#REF!</definedName>
    <definedName name="CX" localSheetId="3">#REF!</definedName>
    <definedName name="D1x49" localSheetId="3">[1]chitimc!#REF!</definedName>
    <definedName name="D1x49x49" localSheetId="3">[1]chitimc!#REF!</definedName>
    <definedName name="Data" localSheetId="3">#REF!</definedName>
    <definedName name="DATA_DATA2_List" localSheetId="3">#REF!</definedName>
    <definedName name="dd" localSheetId="3">#REF!</definedName>
    <definedName name="dd3pctnc" localSheetId="3">[5]CHITIET!#REF!</definedName>
    <definedName name="dd3pctvl" localSheetId="3">[5]CHITIET!#REF!</definedName>
    <definedName name="dd3plmvl" localSheetId="3">'[1]lam-moi'!#REF!</definedName>
    <definedName name="dd3pnc" localSheetId="3">[5]CHITIET!#REF!</definedName>
    <definedName name="dd3pvl" localSheetId="3">[5]CHITIET!#REF!</definedName>
    <definedName name="ddhtnc" localSheetId="3">'[1]lam-moi'!#REF!</definedName>
    <definedName name="ddhtvl" localSheetId="3">'[1]lam-moi'!#REF!</definedName>
    <definedName name="ddt2nc" localSheetId="3">#REF!</definedName>
    <definedName name="ddt2vl" localSheetId="3">#REF!</definedName>
    <definedName name="ddtd3pnc" localSheetId="3">'[1]thao-go'!#REF!</definedName>
    <definedName name="ddtt1pnc" localSheetId="3">#REF!</definedName>
    <definedName name="ddtt1pvl" localSheetId="3">#REF!</definedName>
    <definedName name="ddtt3pnc" localSheetId="3">#REF!</definedName>
    <definedName name="ddtt3pvl" localSheetId="3">#REF!</definedName>
    <definedName name="dgbdII" localSheetId="3">#REF!</definedName>
    <definedName name="dgqndn" localSheetId="3">#REF!</definedName>
    <definedName name="DL15HT" localSheetId="3">'[1]TONGKE-HT'!#REF!</definedName>
    <definedName name="DL16HT" localSheetId="3">'[1]TONGKE-HT'!#REF!</definedName>
    <definedName name="DL19HT" localSheetId="3">'[1]TONGKE-HT'!#REF!</definedName>
    <definedName name="DL20HT" localSheetId="3">'[1]TONGKE-HT'!#REF!</definedName>
    <definedName name="dm56bxd" localSheetId="3">#REF!</definedName>
    <definedName name="ds1pnc" localSheetId="3">#REF!</definedName>
    <definedName name="ds1pvl" localSheetId="3">#REF!</definedName>
    <definedName name="ds3pnc" localSheetId="3">#REF!</definedName>
    <definedName name="ds3pvl" localSheetId="3">#REF!</definedName>
    <definedName name="dsct3pnc" localSheetId="3">'[1]#REF'!#REF!</definedName>
    <definedName name="dsct3pvl" localSheetId="3">'[1]#REF'!#REF!</definedName>
    <definedName name="DVu_ThepDVu110" localSheetId="3">'[8]CBKC-110'!#REF!</definedName>
    <definedName name="eu" localSheetId="3">#REF!</definedName>
    <definedName name="f" localSheetId="3">#REF!</definedName>
    <definedName name="f92F56" localSheetId="3">[1]dtxl!#REF!</definedName>
    <definedName name="fa" localSheetId="3">#REF!</definedName>
    <definedName name="fcu" localSheetId="3">#REF!</definedName>
    <definedName name="fi" localSheetId="3">#REF!</definedName>
    <definedName name="fu" localSheetId="3">#REF!</definedName>
    <definedName name="ge" localSheetId="3">#REF!</definedName>
    <definedName name="gef" localSheetId="3">#REF!</definedName>
    <definedName name="gi" localSheetId="3">#REF!</definedName>
    <definedName name="gl3p" localSheetId="3">#REF!</definedName>
    <definedName name="Gqlda" localSheetId="3">#REF!</definedName>
    <definedName name="Gxd" localSheetId="3">#REF!</definedName>
    <definedName name="h" localSheetId="3">#REF!</definedName>
    <definedName name="HDong_VDinh110" localSheetId="3">'[8]CBKC-110'!#REF!</definedName>
    <definedName name="HDXUAT" localSheetId="3">#REF!</definedName>
    <definedName name="heä_soá_sình_laày" localSheetId="3">#REF!</definedName>
    <definedName name="HH15HT" localSheetId="3">'[9]TONGKE-HT'!#REF!</definedName>
    <definedName name="HH16HT" localSheetId="3">'[9]TONGKE-HT'!#REF!</definedName>
    <definedName name="HH19HT" localSheetId="3">'[9]TONGKE-HT'!#REF!</definedName>
    <definedName name="HH20HT" localSheetId="3">'[9]TONGKE-HT'!#REF!</definedName>
    <definedName name="hsdc1" localSheetId="3">#REF!</definedName>
    <definedName name="HSHH" localSheetId="3">#REF!</definedName>
    <definedName name="HSHHUT" localSheetId="3">#REF!</definedName>
    <definedName name="HSSL" localSheetId="3">#REF!</definedName>
    <definedName name="HSTL" localSheetId="3">#REF!</definedName>
    <definedName name="HSVC1" localSheetId="3">#REF!</definedName>
    <definedName name="HSVC2" localSheetId="3">#REF!</definedName>
    <definedName name="HSVC3" localSheetId="3">#REF!</definedName>
    <definedName name="ht25nc" localSheetId="3">[10]CHITIET!#REF!</definedName>
    <definedName name="ht25vl" localSheetId="3">[10]CHITIET!#REF!</definedName>
    <definedName name="ht325nc" localSheetId="3">[10]CHITIET!#REF!</definedName>
    <definedName name="ht325vl" localSheetId="3">[10]CHITIET!#REF!</definedName>
    <definedName name="ht37k" localSheetId="3">[10]CHITIET!#REF!</definedName>
    <definedName name="ht37nc" localSheetId="3">[10]CHITIET!#REF!</definedName>
    <definedName name="ht50nc" localSheetId="3">[10]CHITIET!#REF!</definedName>
    <definedName name="ht50vl" localSheetId="3">[10]CHITIET!#REF!</definedName>
    <definedName name="HTML_CodePage" hidden="1">950</definedName>
    <definedName name="HTML_Control" localSheetId="1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 localSheetId="3">#REF!</definedName>
    <definedName name="HTVL" localSheetId="3">#REF!</definedName>
    <definedName name="I2É6" localSheetId="3">[1]chitimc!#REF!</definedName>
    <definedName name="in" localSheetId="3">#REF!</definedName>
    <definedName name="j" localSheetId="3">#REF!</definedName>
    <definedName name="k" localSheetId="3">#REF!</definedName>
    <definedName name="k2b" localSheetId="3">'[1]THPDMoi  (2)'!#REF!</definedName>
    <definedName name="kldd1p" localSheetId="3">#REF!</definedName>
    <definedName name="kldd3p" localSheetId="3">[5]CHITIET!#REF!</definedName>
    <definedName name="kmong" localSheetId="3">[1]giathanh1!#REF!</definedName>
    <definedName name="kp1ph" localSheetId="3">#REF!</definedName>
    <definedName name="KTHD" localSheetId="3">'[11]khung ten TD'!#REF!</definedName>
    <definedName name="l" localSheetId="3">#REF!</definedName>
    <definedName name="LA" localSheetId="3">#REF!</definedName>
    <definedName name="le" localSheetId="3">#REF!</definedName>
    <definedName name="lg" localSheetId="3">#REF!</definedName>
    <definedName name="LIGHT" localSheetId="3">#REF!</definedName>
    <definedName name="lm" localSheetId="3">#REF!</definedName>
    <definedName name="lt" localSheetId="3">#REF!</definedName>
    <definedName name="lte" localSheetId="3">#REF!</definedName>
    <definedName name="ltn" localSheetId="3">#REF!</definedName>
    <definedName name="m" localSheetId="3">#REF!</definedName>
    <definedName name="m102bnnc" localSheetId="3">[5]CHITIET!#REF!</definedName>
    <definedName name="m102bnvl" localSheetId="3">[5]CHITIET!#REF!</definedName>
    <definedName name="m10aamtc" localSheetId="3">'[1]t-h HA THE'!#REF!</definedName>
    <definedName name="m10anc" localSheetId="3">[3]chitiet!#REF!</definedName>
    <definedName name="m10avl" localSheetId="3">[3]chitiet!#REF!</definedName>
    <definedName name="m122bnnc" localSheetId="3">[5]CHITIET!#REF!</definedName>
    <definedName name="m122bnvl" localSheetId="3">[5]CHITIET!#REF!</definedName>
    <definedName name="m12aanc" localSheetId="3">[5]CHITIET!#REF!</definedName>
    <definedName name="m12aavl" localSheetId="3">[5]CHITIET!#REF!</definedName>
    <definedName name="m12anc" localSheetId="3">[5]CHITIET!#REF!</definedName>
    <definedName name="m12avl" localSheetId="3">[5]CHITIET!#REF!</definedName>
    <definedName name="M12ba3p" localSheetId="3">#REF!</definedName>
    <definedName name="M12bb1p" localSheetId="3">#REF!</definedName>
    <definedName name="m12bbnc" localSheetId="3">[5]CHITIET!#REF!</definedName>
    <definedName name="m12bbvl" localSheetId="3">[5]CHITIET!#REF!</definedName>
    <definedName name="M12bnnc" localSheetId="3">'[1]#REF'!#REF!</definedName>
    <definedName name="M12bnvl" localSheetId="3">'[1]#REF'!#REF!</definedName>
    <definedName name="M12cbnc" localSheetId="3">#REF!</definedName>
    <definedName name="M12cbvl" localSheetId="3">#REF!</definedName>
    <definedName name="m142bnnc" localSheetId="3">[5]CHITIET!#REF!</definedName>
    <definedName name="m142bnvl" localSheetId="3">[5]CHITIET!#REF!</definedName>
    <definedName name="M14bb1p" localSheetId="3">#REF!</definedName>
    <definedName name="M14bbvc" localSheetId="3">'[1]CHITIET VL-NC-TT -1p'!#REF!</definedName>
    <definedName name="M8a" localSheetId="3">'[1]THPDMoi  (2)'!#REF!</definedName>
    <definedName name="M8aa" localSheetId="3">'[1]THPDMoi  (2)'!#REF!</definedName>
    <definedName name="m8aanc" localSheetId="3">#REF!</definedName>
    <definedName name="m8aavl" localSheetId="3">#REF!</definedName>
    <definedName name="m8amtc" localSheetId="3">'[1]t-h HA THE'!#REF!</definedName>
    <definedName name="MA" localSheetId="3">#REF!</definedName>
    <definedName name="Ma3pnc" localSheetId="3">#REF!</definedName>
    <definedName name="Ma3pvl" localSheetId="3">#REF!</definedName>
    <definedName name="Maa3pnc" localSheetId="3">#REF!</definedName>
    <definedName name="Maa3pvl" localSheetId="3">#REF!</definedName>
    <definedName name="MAKH" localSheetId="3">#REF!</definedName>
    <definedName name="Mba1p" localSheetId="3">#REF!</definedName>
    <definedName name="Mba3p" localSheetId="3">#REF!</definedName>
    <definedName name="Mbb3p" localSheetId="3">#REF!</definedName>
    <definedName name="Mbn1p" localSheetId="3">#REF!</definedName>
    <definedName name="mbnc" localSheetId="3">[5]CHITIET!#REF!</definedName>
    <definedName name="mbvl" localSheetId="3">[5]CHITIET!#REF!</definedName>
    <definedName name="mg" localSheetId="3">#REF!</definedName>
    <definedName name="mmm" localSheetId="3">[1]giathanh1!#REF!</definedName>
    <definedName name="mp1x25" localSheetId="3">'[1]dongia (2)'!#REF!</definedName>
    <definedName name="MTC1P" localSheetId="3">'[1]TONG HOP VL-NC TT'!#REF!</definedName>
    <definedName name="MTC3P" localSheetId="3">'[1]TONG HOP VL-NC TT'!#REF!</definedName>
    <definedName name="MTCMB" localSheetId="3">'[1]#REF'!#REF!</definedName>
    <definedName name="MTMAC12" localSheetId="3">#REF!</definedName>
    <definedName name="mtr" localSheetId="3">#REF!</definedName>
    <definedName name="mtram" localSheetId="3">#REF!</definedName>
    <definedName name="n" localSheetId="3">#REF!</definedName>
    <definedName name="n1pig" localSheetId="3">[3]VC!#REF!</definedName>
    <definedName name="n1pind" localSheetId="3">[3]VC!#REF!</definedName>
    <definedName name="n1ping" localSheetId="3">[3]VC!#REF!</definedName>
    <definedName name="n1pint" localSheetId="3">[3]VC!#REF!</definedName>
    <definedName name="n1pintnc" localSheetId="3">[5]CHITIET!#REF!</definedName>
    <definedName name="n1pintvl" localSheetId="3">[5]CHITIET!#REF!</definedName>
    <definedName name="n2mignc" localSheetId="3">'[1]lam-moi'!#REF!</definedName>
    <definedName name="n2migvl" localSheetId="3">'[1]lam-moi'!#REF!</definedName>
    <definedName name="n2min1nc" localSheetId="3">'[1]lam-moi'!#REF!</definedName>
    <definedName name="n2min1vl" localSheetId="3">'[1]lam-moi'!#REF!</definedName>
    <definedName name="nc1nc" localSheetId="3">[5]CHITIET!#REF!</definedName>
    <definedName name="nc1p" localSheetId="3">#REF!</definedName>
    <definedName name="nc1vl" localSheetId="3">[5]CHITIET!#REF!</definedName>
    <definedName name="nc3p" localSheetId="3">#REF!</definedName>
    <definedName name="NCBD100" localSheetId="3">#REF!</definedName>
    <definedName name="NCBD200" localSheetId="3">#REF!</definedName>
    <definedName name="NCBD250" localSheetId="3">#REF!</definedName>
    <definedName name="ncdd" localSheetId="3">#REF!</definedName>
    <definedName name="NCDD2" localSheetId="3">#REF!</definedName>
    <definedName name="nctr" localSheetId="3">#REF!</definedName>
    <definedName name="nctram" localSheetId="3">#REF!</definedName>
    <definedName name="NCVC100" localSheetId="3">#REF!</definedName>
    <definedName name="NCVC200" localSheetId="3">#REF!</definedName>
    <definedName name="NCVC250" localSheetId="3">#REF!</definedName>
    <definedName name="NCVC3P" localSheetId="3">#REF!</definedName>
    <definedName name="nhn" localSheetId="3">[3]VC!#REF!</definedName>
    <definedName name="nhnnc" localSheetId="3">[5]CHITIET!#REF!</definedName>
    <definedName name="nhnvl" localSheetId="3">[5]CHITIET!#REF!</definedName>
    <definedName name="nig" localSheetId="3">[3]VC!#REF!</definedName>
    <definedName name="nig1p" localSheetId="3">#REF!</definedName>
    <definedName name="nig3p" localSheetId="3">#REF!</definedName>
    <definedName name="nightnc" localSheetId="3">#REF!</definedName>
    <definedName name="nightvl" localSheetId="3">#REF!</definedName>
    <definedName name="nignc1p" localSheetId="3">#REF!</definedName>
    <definedName name="nigvl1p" localSheetId="3">#REF!</definedName>
    <definedName name="nin" localSheetId="3">[3]VC!#REF!</definedName>
    <definedName name="nin14nc3p" localSheetId="3">#REF!</definedName>
    <definedName name="nin14vl3p" localSheetId="3">#REF!</definedName>
    <definedName name="nin1903p" localSheetId="3">#REF!</definedName>
    <definedName name="nin190nc3p" localSheetId="3">#REF!</definedName>
    <definedName name="nin190vl3p" localSheetId="3">#REF!</definedName>
    <definedName name="nin2903p" localSheetId="3">#REF!</definedName>
    <definedName name="nin290nc3p" localSheetId="3">#REF!</definedName>
    <definedName name="nin290vl3p" localSheetId="3">#REF!</definedName>
    <definedName name="nin3p" localSheetId="3">#REF!</definedName>
    <definedName name="nind" localSheetId="3">[3]VC!#REF!</definedName>
    <definedName name="nind1p" localSheetId="3">#REF!</definedName>
    <definedName name="nind3p" localSheetId="3">#REF!</definedName>
    <definedName name="nindnc1p" localSheetId="3">#REF!</definedName>
    <definedName name="nindnc3p" localSheetId="3">#REF!</definedName>
    <definedName name="nindvl1p" localSheetId="3">#REF!</definedName>
    <definedName name="nindvl3p" localSheetId="3">#REF!</definedName>
    <definedName name="ning1p" localSheetId="3">#REF!</definedName>
    <definedName name="ningnc1p" localSheetId="3">#REF!</definedName>
    <definedName name="ningvl1p" localSheetId="3">#REF!</definedName>
    <definedName name="ninnc3p" localSheetId="3">#REF!</definedName>
    <definedName name="nint1p" localSheetId="3">#REF!</definedName>
    <definedName name="nintnc1p" localSheetId="3">#REF!</definedName>
    <definedName name="nintvl1p" localSheetId="3">#REF!</definedName>
    <definedName name="ninvl3p" localSheetId="3">#REF!</definedName>
    <definedName name="nl" localSheetId="3">[3]VC!#REF!</definedName>
    <definedName name="NL12nc" localSheetId="3">'[1]#REF'!#REF!</definedName>
    <definedName name="NL12vl" localSheetId="3">'[1]#REF'!#REF!</definedName>
    <definedName name="nl1p" localSheetId="3">[3]VC!#REF!</definedName>
    <definedName name="nl3p" localSheetId="3">#REF!</definedName>
    <definedName name="nlht" localSheetId="3">'[1]THPDMoi  (2)'!#REF!</definedName>
    <definedName name="nlmtc" localSheetId="3">'[1]t-h HA THE'!#REF!</definedName>
    <definedName name="nlnc3p" localSheetId="3">#REF!</definedName>
    <definedName name="nlnc3pha" localSheetId="3">#REF!</definedName>
    <definedName name="NLTK1p" localSheetId="3">#REF!</definedName>
    <definedName name="nlvl3p" localSheetId="3">#REF!</definedName>
    <definedName name="nn" localSheetId="3">[3]VC!#REF!</definedName>
    <definedName name="nn1p" localSheetId="3">[3]VC!#REF!</definedName>
    <definedName name="nn3p" localSheetId="3">#REF!</definedName>
    <definedName name="nnnc" localSheetId="3">[5]CHITIET!#REF!</definedName>
    <definedName name="nnnc3p" localSheetId="3">#REF!</definedName>
    <definedName name="nnvl" localSheetId="3">[5]CHITIET!#REF!</definedName>
    <definedName name="nnvl3p" localSheetId="3">#REF!</definedName>
    <definedName name="NR_HaLong110" localSheetId="3">'[8]CBKC-110'!#REF!</definedName>
    <definedName name="nx" localSheetId="3">'[1]THPDMoi  (2)'!#REF!</definedName>
    <definedName name="nxmtc" localSheetId="3">'[1]t-h HA THE'!#REF!</definedName>
    <definedName name="osc" localSheetId="3">'[1]THPDMoi  (2)'!#REF!</definedName>
    <definedName name="ot" localSheetId="3">#REF!</definedName>
    <definedName name="p" localSheetId="3">#REF!</definedName>
    <definedName name="pa" localSheetId="3">#REF!</definedName>
    <definedName name="ppr" localSheetId="3">#REF!</definedName>
    <definedName name="_xlnm.Print_Area" localSheetId="1">BOM!$A$1:$H$69</definedName>
    <definedName name="_xlnm.Print_Area" localSheetId="3">'PTLL (2)'!$A$1:$L$79</definedName>
    <definedName name="_xlnm.Print_Titles" localSheetId="1">BOM!$7:$7</definedName>
    <definedName name="_xlnm.Print_Titles" localSheetId="3">'PTLL (2)'!$2:$3,'PTLL (2)'!$B:$B</definedName>
    <definedName name="pvc" localSheetId="3">#REF!</definedName>
    <definedName name="Q" localSheetId="3">[1]giathanh1!#REF!</definedName>
    <definedName name="ra11p" localSheetId="3">#REF!</definedName>
    <definedName name="ra13p" localSheetId="3">#REF!</definedName>
    <definedName name="rack1" localSheetId="3">'[1]THPDMoi  (2)'!#REF!</definedName>
    <definedName name="rack2" localSheetId="3">'[1]THPDMoi  (2)'!#REF!</definedName>
    <definedName name="rack3" localSheetId="3">'[1]THPDMoi  (2)'!#REF!</definedName>
    <definedName name="rack4" localSheetId="3">'[1]THPDMoi  (2)'!#REF!</definedName>
    <definedName name="sa" localSheetId="3">#REF!</definedName>
    <definedName name="sad" localSheetId="3">#REF!</definedName>
    <definedName name="San_Tennis" localSheetId="3">'[8]CBKC-110'!#REF!</definedName>
    <definedName name="San_truoc" localSheetId="3">[12]tienluong!#REF!</definedName>
    <definedName name="sd3p" localSheetId="3">'[1]lam-moi'!#REF!</definedName>
    <definedName name="SDMONG" localSheetId="3">#REF!</definedName>
    <definedName name="sgnc" localSheetId="3">#REF!</definedName>
    <definedName name="sgvl" localSheetId="3">#REF!</definedName>
    <definedName name="shasa" localSheetId="3">#REF!</definedName>
    <definedName name="sht" localSheetId="3">'[1]THPDMoi  (2)'!#REF!</definedName>
    <definedName name="sht3p" localSheetId="3">'[1]lam-moi'!#REF!</definedName>
    <definedName name="sin" localSheetId="3">#REF!</definedName>
    <definedName name="SL_CRD" localSheetId="3">#REF!</definedName>
    <definedName name="SL_CRS" localSheetId="3">#REF!</definedName>
    <definedName name="SL_CS" localSheetId="3">#REF!</definedName>
    <definedName name="SL_DD" localSheetId="3">#REF!</definedName>
    <definedName name="soc3p" localSheetId="3">#REF!</definedName>
    <definedName name="sp" localSheetId="3">#REF!</definedName>
    <definedName name="spk1p" localSheetId="3">#REF!</definedName>
    <definedName name="spk3p" localSheetId="3">[5]CHITIET!#REF!</definedName>
    <definedName name="st3p" localSheetId="3">'[1]lam-moi'!#REF!</definedName>
    <definedName name="stp" localSheetId="3">#REF!</definedName>
    <definedName name="SumMTC" localSheetId="3">#REF!</definedName>
    <definedName name="SumNC" localSheetId="3">#REF!</definedName>
    <definedName name="sw" localSheetId="3">#REF!</definedName>
    <definedName name="t101p" localSheetId="3">[3]VC!#REF!</definedName>
    <definedName name="t103p" localSheetId="3">[3]VC!#REF!</definedName>
    <definedName name="t105mnc" localSheetId="3">'[1]thao-go'!#REF!</definedName>
    <definedName name="t10m" localSheetId="3">'[1]lam-moi'!#REF!</definedName>
    <definedName name="t10nc1p" localSheetId="3">#REF!</definedName>
    <definedName name="t10ncm" localSheetId="3">'[1]lam-moi'!#REF!</definedName>
    <definedName name="t10vl1p" localSheetId="3">#REF!</definedName>
    <definedName name="t121p" localSheetId="3">[3]VC!#REF!</definedName>
    <definedName name="t123p" localSheetId="3">[3]VC!#REF!</definedName>
    <definedName name="t12m" localSheetId="3">'[1]lam-moi'!#REF!</definedName>
    <definedName name="t12mnc" localSheetId="3">'[1]thao-go'!#REF!</definedName>
    <definedName name="t12ncm" localSheetId="3">'[1]lam-moi'!#REF!</definedName>
    <definedName name="t141p" localSheetId="3">[3]VC!#REF!</definedName>
    <definedName name="t143p" localSheetId="3">[3]VC!#REF!</definedName>
    <definedName name="t14m" localSheetId="3">'[1]lam-moi'!#REF!</definedName>
    <definedName name="t14mnc" localSheetId="3">'[1]thao-go'!#REF!</definedName>
    <definedName name="t14nc3p" localSheetId="3">#REF!</definedName>
    <definedName name="t14ncm" localSheetId="3">'[1]lam-moi'!#REF!</definedName>
    <definedName name="T14vc" localSheetId="3">'[1]CHITIET VL-NC-TT -1p'!#REF!</definedName>
    <definedName name="t14vl3p" localSheetId="3">#REF!</definedName>
    <definedName name="T203P" localSheetId="3">[3]VC!#REF!</definedName>
    <definedName name="t20m" localSheetId="3">'[1]lam-moi'!#REF!</definedName>
    <definedName name="t20ncm" localSheetId="3">'[1]lam-moi'!#REF!</definedName>
    <definedName name="t7m" localSheetId="3">'[1]THPDMoi  (2)'!#REF!</definedName>
    <definedName name="t84mnc" localSheetId="3">'[1]thao-go'!#REF!</definedName>
    <definedName name="t8m" localSheetId="3">'[1]THPDMoi  (2)'!#REF!</definedName>
    <definedName name="ta" localSheetId="3">#REF!</definedName>
    <definedName name="tb" localSheetId="3">#REF!</definedName>
    <definedName name="tbdd1p" localSheetId="3">'[1]lam-moi'!#REF!</definedName>
    <definedName name="tbdd3p" localSheetId="3">'[1]lam-moi'!#REF!</definedName>
    <definedName name="tbddsdl" localSheetId="3">'[1]lam-moi'!#REF!</definedName>
    <definedName name="TBI" localSheetId="3">#REF!</definedName>
    <definedName name="tbtr" localSheetId="3">#REF!</definedName>
    <definedName name="tbtram" localSheetId="3">#REF!</definedName>
    <definedName name="TC" localSheetId="3">#REF!</definedName>
    <definedName name="TC_NHANH1" localSheetId="3">#REF!</definedName>
    <definedName name="tcxxnc" localSheetId="3">'[1]thao-go'!#REF!</definedName>
    <definedName name="td" localSheetId="3">'[1]THPDMoi  (2)'!#REF!</definedName>
    <definedName name="td10vl" localSheetId="3">'[1]#REF'!#REF!</definedName>
    <definedName name="td12nc" localSheetId="3">'[1]#REF'!#REF!</definedName>
    <definedName name="td1p" localSheetId="3">[3]VC!#REF!</definedName>
    <definedName name="TD1pnc" localSheetId="3">'[1]CHITIET VL-NC-TT -1p'!#REF!</definedName>
    <definedName name="TD1pvl" localSheetId="3">'[1]CHITIET VL-NC-TT -1p'!#REF!</definedName>
    <definedName name="td3p" localSheetId="3">[3]VC!#REF!</definedName>
    <definedName name="tdc84nc" localSheetId="3">'[1]thao-go'!#REF!</definedName>
    <definedName name="tdcnc" localSheetId="3">'[1]thao-go'!#REF!</definedName>
    <definedName name="tdgnc" localSheetId="3">[10]CHITIET!#REF!</definedName>
    <definedName name="tdgvl" localSheetId="3">[10]CHITIET!#REF!</definedName>
    <definedName name="tdnc" localSheetId="3">#REF!</definedName>
    <definedName name="tdnc1p" localSheetId="3">#REF!</definedName>
    <definedName name="tdt1pnc" localSheetId="3">#REF!</definedName>
    <definedName name="tdt1pvl" localSheetId="3">#REF!</definedName>
    <definedName name="tdt2cnc" localSheetId="3">[10]CHITIET!#REF!</definedName>
    <definedName name="tdt2cvl" localSheetId="3">[10]CHITIET!#REF!</definedName>
    <definedName name="tdtr2cnc" localSheetId="3">#REF!</definedName>
    <definedName name="tdtr2cvl" localSheetId="3">#REF!</definedName>
    <definedName name="tdtrnc" localSheetId="3">[10]CHITIET!#REF!</definedName>
    <definedName name="tdtrvl" localSheetId="3">[10]CHITIET!#REF!</definedName>
    <definedName name="tdvl" localSheetId="3">#REF!</definedName>
    <definedName name="tdvl1p" localSheetId="3">#REF!</definedName>
    <definedName name="te" localSheetId="3">#REF!</definedName>
    <definedName name="tg" localSheetId="3">#REF!</definedName>
    <definedName name="th3x15" localSheetId="3">[1]giathanh1!#REF!</definedName>
    <definedName name="ThanhXuan110" localSheetId="3">'[13]KH-Q1,Q2,01'!#REF!</definedName>
    <definedName name="THGO1pnc" localSheetId="3">#REF!</definedName>
    <definedName name="thht" localSheetId="3">#REF!</definedName>
    <definedName name="THKP160" localSheetId="3">'[1]dongia (2)'!#REF!</definedName>
    <definedName name="thkp3" localSheetId="3">#REF!</definedName>
    <definedName name="thtr15" localSheetId="3">[1]giathanh1!#REF!</definedName>
    <definedName name="thtt" localSheetId="3">#REF!</definedName>
    <definedName name="THUE" localSheetId="3">#REF!</definedName>
    <definedName name="TIENLUONG" localSheetId="3">#REF!</definedName>
    <definedName name="TIENXUAT" localSheetId="3">#REF!</definedName>
    <definedName name="TKP" localSheetId="3">#REF!</definedName>
    <definedName name="tl" localSheetId="3">#REF!</definedName>
    <definedName name="TLAC120" localSheetId="3">#REF!</definedName>
    <definedName name="TLAC35" localSheetId="3">#REF!</definedName>
    <definedName name="TLAC50" localSheetId="3">#REF!</definedName>
    <definedName name="TLAC70" localSheetId="3">#REF!</definedName>
    <definedName name="TLAC95" localSheetId="3">#REF!</definedName>
    <definedName name="tn1pinnc" localSheetId="3">'[1]thao-go'!#REF!</definedName>
    <definedName name="tn2mhnnc" localSheetId="3">'[1]thao-go'!#REF!</definedName>
    <definedName name="TNCM" localSheetId="3">'[1]CHITIET VL-NC-TT-3p'!#REF!</definedName>
    <definedName name="tnhnnc" localSheetId="3">'[1]thao-go'!#REF!</definedName>
    <definedName name="tnignc" localSheetId="3">'[1]thao-go'!#REF!</definedName>
    <definedName name="tnin190nc" localSheetId="3">'[1]thao-go'!#REF!</definedName>
    <definedName name="tnlnc" localSheetId="3">'[1]thao-go'!#REF!</definedName>
    <definedName name="tnnnc" localSheetId="3">'[1]thao-go'!#REF!</definedName>
    <definedName name="tr" localSheetId="3">#REF!</definedName>
    <definedName name="TR15HT" localSheetId="3">'[1]TONGKE-HT'!#REF!</definedName>
    <definedName name="TR16HT" localSheetId="3">'[1]TONGKE-HT'!#REF!</definedName>
    <definedName name="TR19HT" localSheetId="3">'[1]TONGKE-HT'!#REF!</definedName>
    <definedName name="tr1x15" localSheetId="3">[1]giathanh1!#REF!</definedName>
    <definedName name="TR20HT" localSheetId="3">'[1]TONGKE-HT'!#REF!</definedName>
    <definedName name="tr3x100" localSheetId="3">'[1]dongia (2)'!#REF!</definedName>
    <definedName name="tram100" localSheetId="3">'[1]dongia (2)'!#REF!</definedName>
    <definedName name="tram1x25" localSheetId="3">'[1]dongia (2)'!#REF!</definedName>
    <definedName name="tru10mtc" localSheetId="3">'[1]t-h HA THE'!#REF!</definedName>
    <definedName name="tru8mtc" localSheetId="3">'[1]t-h HA THE'!#REF!</definedName>
    <definedName name="TT_1P" localSheetId="3">#REF!</definedName>
    <definedName name="TT_3p" localSheetId="3">#REF!</definedName>
    <definedName name="tt1pnc" localSheetId="3">[10]CHITIET!#REF!</definedName>
    <definedName name="tt1pvl" localSheetId="3">[10]CHITIET!#REF!</definedName>
    <definedName name="tt3pnc" localSheetId="3">[10]CHITIET!#REF!</definedName>
    <definedName name="tt3pvl" localSheetId="3">[10]CHITIET!#REF!</definedName>
    <definedName name="TTDDCT3p" localSheetId="3">[1]TDTKP1!#REF!</definedName>
    <definedName name="TTOAN" localSheetId="3">#REF!</definedName>
    <definedName name="ttronmk" localSheetId="3">#REF!</definedName>
    <definedName name="tu" localSheetId="3">#REF!</definedName>
    <definedName name="tv" localSheetId="3">#REF!</definedName>
    <definedName name="tv75nc" localSheetId="3">#REF!</definedName>
    <definedName name="tv75vl" localSheetId="3">#REF!</definedName>
    <definedName name="tx1pignc" localSheetId="3">'[1]thao-go'!#REF!</definedName>
    <definedName name="tx1pindnc" localSheetId="3">'[1]thao-go'!#REF!</definedName>
    <definedName name="tx1pingnc" localSheetId="3">'[1]thao-go'!#REF!</definedName>
    <definedName name="tx1pintnc" localSheetId="3">'[1]thao-go'!#REF!</definedName>
    <definedName name="tx1pitnc" localSheetId="3">'[1]thao-go'!#REF!</definedName>
    <definedName name="tx2mhnnc" localSheetId="3">'[1]thao-go'!#REF!</definedName>
    <definedName name="tx2mitnc" localSheetId="3">'[1]thao-go'!#REF!</definedName>
    <definedName name="txhnnc" localSheetId="3">'[1]thao-go'!#REF!</definedName>
    <definedName name="txig1nc" localSheetId="3">'[1]thao-go'!#REF!</definedName>
    <definedName name="txin190nc" localSheetId="3">'[1]thao-go'!#REF!</definedName>
    <definedName name="txinnc" localSheetId="3">'[1]thao-go'!#REF!</definedName>
    <definedName name="txit1nc" localSheetId="3">'[1]thao-go'!#REF!</definedName>
    <definedName name="v" localSheetId="3">#REF!</definedName>
    <definedName name="VAT" localSheetId="3">#REF!</definedName>
    <definedName name="VCDD3p" localSheetId="3">'[1]KPVC-BD '!#REF!</definedName>
    <definedName name="VCHT" localSheetId="3">[3]VC!#REF!</definedName>
    <definedName name="VCTT" localSheetId="3">#REF!</definedName>
    <definedName name="vd3p" localSheetId="3">#REF!</definedName>
    <definedName name="vl1p" localSheetId="3">#REF!</definedName>
    <definedName name="vl3p" localSheetId="3">#REF!</definedName>
    <definedName name="vldd" localSheetId="3">#REF!</definedName>
    <definedName name="vldn400" localSheetId="3">#REF!</definedName>
    <definedName name="vldn600" localSheetId="3">#REF!</definedName>
    <definedName name="VLIEU" localSheetId="3">#REF!</definedName>
    <definedName name="vltr" localSheetId="3">#REF!</definedName>
    <definedName name="vltram" localSheetId="3">#REF!</definedName>
    <definedName name="vr3p" localSheetId="3">#REF!</definedName>
    <definedName name="vs" localSheetId="3">#REF!</definedName>
    <definedName name="VT" localSheetId="3">#REF!</definedName>
    <definedName name="vt1pbs" localSheetId="3">'[1]lam-moi'!#REF!</definedName>
    <definedName name="vtbs" localSheetId="3">'[1]lam-moi'!#REF!</definedName>
    <definedName name="vtp" localSheetId="3">#REF!</definedName>
    <definedName name="W" localSheetId="3">#REF!</definedName>
    <definedName name="wrn.chi._.tiÆt." localSheetId="1" hidden="1">{#N/A,#N/A,FALSE,"Chi tiÆt"}</definedName>
    <definedName name="wrn.chi._.tiÆt." hidden="1">{#N/A,#N/A,FALSE,"Chi tiÆt"}</definedName>
    <definedName name="x" localSheetId="3">#REF!</definedName>
    <definedName name="x17dnc" localSheetId="3">[3]chitiet!#REF!</definedName>
    <definedName name="x17dvl" localSheetId="3">[3]chitiet!#REF!</definedName>
    <definedName name="x17knc" localSheetId="3">[3]chitiet!#REF!</definedName>
    <definedName name="x17kvl" localSheetId="3">[3]chitiet!#REF!</definedName>
    <definedName name="X1pFCOnc" localSheetId="3">'[1]CHITIET VL-NC-TT -1p'!#REF!</definedName>
    <definedName name="X1pFCOvc" localSheetId="3">'[1]CHITIET VL-NC-TT -1p'!#REF!</definedName>
    <definedName name="X1pFCOvl" localSheetId="3">'[1]CHITIET VL-NC-TT -1p'!#REF!</definedName>
    <definedName name="x1pignc" localSheetId="3">'[1]lam-moi'!#REF!</definedName>
    <definedName name="X1pIGvc" localSheetId="3">'[1]CHITIET VL-NC-TT -1p'!#REF!</definedName>
    <definedName name="x1pigvl" localSheetId="3">'[1]lam-moi'!#REF!</definedName>
    <definedName name="x1pind" localSheetId="3">[3]VC!#REF!</definedName>
    <definedName name="x1pindnc" localSheetId="3">[5]CHITIET!#REF!</definedName>
    <definedName name="x1pindvl" localSheetId="3">[5]CHITIET!#REF!</definedName>
    <definedName name="x1ping" localSheetId="3">[3]VC!#REF!</definedName>
    <definedName name="x1pingnc" localSheetId="3">#REF!</definedName>
    <definedName name="x1pingvl" localSheetId="3">#REF!</definedName>
    <definedName name="x1pint" localSheetId="3">[3]VC!#REF!</definedName>
    <definedName name="x1pintnc" localSheetId="3">'[1]lam-moi'!#REF!</definedName>
    <definedName name="X1pINTvc" localSheetId="3">'[1]CHITIET VL-NC-TT -1p'!#REF!</definedName>
    <definedName name="x1pintvl" localSheetId="3">'[1]lam-moi'!#REF!</definedName>
    <definedName name="x1pitnc" localSheetId="3">'[1]lam-moi'!#REF!</definedName>
    <definedName name="X1pITvc" localSheetId="3">'[1]CHITIET VL-NC-TT -1p'!#REF!</definedName>
    <definedName name="x1pitvl" localSheetId="3">'[1]lam-moi'!#REF!</definedName>
    <definedName name="x20knc" localSheetId="3">[3]chitiet!#REF!</definedName>
    <definedName name="x20kvl" localSheetId="3">[3]chitiet!#REF!</definedName>
    <definedName name="x22knc" localSheetId="3">[3]chitiet!#REF!</definedName>
    <definedName name="x22kvl" localSheetId="3">[3]chitiet!#REF!</definedName>
    <definedName name="x2mig1nc" localSheetId="3">'[1]lam-moi'!#REF!</definedName>
    <definedName name="x2mig1vl" localSheetId="3">'[1]lam-moi'!#REF!</definedName>
    <definedName name="x2min1nc" localSheetId="3">'[1]lam-moi'!#REF!</definedName>
    <definedName name="x2min1vl" localSheetId="3">'[1]lam-moi'!#REF!</definedName>
    <definedName name="x2mit1vl" localSheetId="3">'[1]lam-moi'!#REF!</definedName>
    <definedName name="x2mitnc" localSheetId="3">'[1]lam-moi'!#REF!</definedName>
    <definedName name="xdsnc" localSheetId="3">#REF!</definedName>
    <definedName name="xdsvl" localSheetId="3">#REF!</definedName>
    <definedName name="xfco" localSheetId="3">[3]VC!#REF!</definedName>
    <definedName name="xfco3p" localSheetId="3">#REF!</definedName>
    <definedName name="xfcotnc" localSheetId="3">#REF!</definedName>
    <definedName name="xfcotvl" localSheetId="3">#REF!</definedName>
    <definedName name="xfnc" localSheetId="3">'[1]lam-moi'!#REF!</definedName>
    <definedName name="xfvl" localSheetId="3">'[1]lam-moi'!#REF!</definedName>
    <definedName name="xhn" localSheetId="3">[3]VC!#REF!</definedName>
    <definedName name="xhnnc" localSheetId="3">[5]CHITIET!#REF!</definedName>
    <definedName name="xhnvl" localSheetId="3">[5]CHITIET!#REF!</definedName>
    <definedName name="xig" localSheetId="3">[3]VC!#REF!</definedName>
    <definedName name="xig1" localSheetId="3">[3]VC!#REF!</definedName>
    <definedName name="xig1nc" localSheetId="3">[5]CHITIET!#REF!</definedName>
    <definedName name="xig1p" localSheetId="3">#REF!</definedName>
    <definedName name="xig1vl" localSheetId="3">[5]CHITIET!#REF!</definedName>
    <definedName name="xig2nc" localSheetId="3">'[1]lam-moi'!#REF!</definedName>
    <definedName name="xig2vl" localSheetId="3">'[1]lam-moi'!#REF!</definedName>
    <definedName name="xig3p" localSheetId="3">#REF!</definedName>
    <definedName name="xignc3p" localSheetId="3">#REF!</definedName>
    <definedName name="xigvl3p" localSheetId="3">#REF!</definedName>
    <definedName name="xin" localSheetId="3">[3]VC!#REF!</definedName>
    <definedName name="xin190" localSheetId="3">[3]VC!#REF!</definedName>
    <definedName name="xin1903p" localSheetId="3">#REF!</definedName>
    <definedName name="xin2903p" localSheetId="3">#REF!</definedName>
    <definedName name="xin290nc3p" localSheetId="3">#REF!</definedName>
    <definedName name="xin290vl3p" localSheetId="3">#REF!</definedName>
    <definedName name="xin3p" localSheetId="3">#REF!</definedName>
    <definedName name="xind" localSheetId="3">[3]VC!#REF!</definedName>
    <definedName name="xind1p" localSheetId="3">#REF!</definedName>
    <definedName name="xind3p" localSheetId="3">#REF!</definedName>
    <definedName name="xindnc1p" localSheetId="3">#REF!</definedName>
    <definedName name="xindvl1p" localSheetId="3">#REF!</definedName>
    <definedName name="xing1p" localSheetId="3">#REF!</definedName>
    <definedName name="xingnc1p" localSheetId="3">#REF!</definedName>
    <definedName name="xingvl1p" localSheetId="3">#REF!</definedName>
    <definedName name="xinnc3p" localSheetId="3">#REF!</definedName>
    <definedName name="xint1p" localSheetId="3">#REF!</definedName>
    <definedName name="xinvl3p" localSheetId="3">#REF!</definedName>
    <definedName name="xit" localSheetId="3">[3]VC!#REF!</definedName>
    <definedName name="xit1" localSheetId="3">[3]VC!#REF!</definedName>
    <definedName name="xit1nc" localSheetId="3">[5]CHITIET!#REF!</definedName>
    <definedName name="xit1p" localSheetId="3">#REF!</definedName>
    <definedName name="xit1vl" localSheetId="3">[5]CHITIET!#REF!</definedName>
    <definedName name="xit2nc" localSheetId="3">'[1]lam-moi'!#REF!</definedName>
    <definedName name="xit2nc3p" localSheetId="3">#REF!</definedName>
    <definedName name="xit2vl" localSheetId="3">'[1]lam-moi'!#REF!</definedName>
    <definedName name="xit2vl3p" localSheetId="3">#REF!</definedName>
    <definedName name="xit3p" localSheetId="3">#REF!</definedName>
    <definedName name="xitnc3p" localSheetId="3">#REF!</definedName>
    <definedName name="xitvl3p" localSheetId="3">#REF!</definedName>
    <definedName name="xr1nc" localSheetId="3">[5]CHITIET!#REF!</definedName>
    <definedName name="xr1vl" localSheetId="3">[5]CHITIET!#REF!</definedName>
    <definedName name="xtr3pnc" localSheetId="3">#REF!</definedName>
    <definedName name="xtr3pvl" localSheetId="3">#REF!</definedName>
    <definedName name="전" localSheetId="3">#REF!</definedName>
    <definedName name="주택사업본부" localSheetId="3">#REF!</definedName>
    <definedName name="철구사업본부" localSheetId="3">#REF!</definedName>
  </definedNames>
  <calcPr calcId="162913"/>
</workbook>
</file>

<file path=xl/calcChain.xml><?xml version="1.0" encoding="utf-8"?>
<calcChain xmlns="http://schemas.openxmlformats.org/spreadsheetml/2006/main">
  <c r="F42" i="4" l="1"/>
  <c r="D41" i="4"/>
  <c r="F41" i="4" s="1"/>
  <c r="F40" i="4"/>
  <c r="F39" i="4"/>
  <c r="F38" i="4"/>
  <c r="F36" i="4" s="1"/>
  <c r="F37" i="4"/>
  <c r="AC36" i="4"/>
  <c r="AB36" i="4"/>
  <c r="AA36" i="4"/>
  <c r="Y36" i="4"/>
  <c r="U36" i="4"/>
  <c r="M36" i="4"/>
  <c r="D36" i="4"/>
  <c r="I35" i="4"/>
  <c r="J35" i="4" s="1"/>
  <c r="K35" i="4" s="1"/>
  <c r="F35" i="4"/>
  <c r="Y34" i="4"/>
  <c r="S34" i="4"/>
  <c r="R34" i="4"/>
  <c r="AA34" i="4" s="1"/>
  <c r="I34" i="4"/>
  <c r="J34" i="4" s="1"/>
  <c r="K34" i="4" s="1"/>
  <c r="F34" i="4"/>
  <c r="AA33" i="4"/>
  <c r="Y33" i="4"/>
  <c r="S33" i="4"/>
  <c r="R33" i="4"/>
  <c r="F33" i="4"/>
  <c r="E33" i="4"/>
  <c r="I33" i="4" s="1"/>
  <c r="AB32" i="4"/>
  <c r="U32" i="4"/>
  <c r="T32" i="4"/>
  <c r="S32" i="4"/>
  <c r="R32" i="4"/>
  <c r="AA32" i="4" s="1"/>
  <c r="AC32" i="4" s="1"/>
  <c r="P32" i="4"/>
  <c r="I32" i="4"/>
  <c r="J32" i="4" s="1"/>
  <c r="F32" i="4"/>
  <c r="AB31" i="4"/>
  <c r="T31" i="4"/>
  <c r="U31" i="4" s="1"/>
  <c r="S31" i="4"/>
  <c r="R31" i="4"/>
  <c r="AA31" i="4" s="1"/>
  <c r="AC31" i="4" s="1"/>
  <c r="J31" i="4"/>
  <c r="K31" i="4" s="1"/>
  <c r="I31" i="4"/>
  <c r="F31" i="4"/>
  <c r="F30" i="4"/>
  <c r="R29" i="4"/>
  <c r="AA29" i="4" s="1"/>
  <c r="J29" i="4"/>
  <c r="K29" i="4" s="1"/>
  <c r="I29" i="4"/>
  <c r="F29" i="4"/>
  <c r="E29" i="4"/>
  <c r="AA28" i="4"/>
  <c r="R28" i="4"/>
  <c r="E28" i="4"/>
  <c r="I28" i="4" s="1"/>
  <c r="J28" i="4" s="1"/>
  <c r="AB27" i="4"/>
  <c r="T27" i="4"/>
  <c r="U27" i="4" s="1"/>
  <c r="R27" i="4"/>
  <c r="AA27" i="4" s="1"/>
  <c r="AC27" i="4" s="1"/>
  <c r="J27" i="4"/>
  <c r="I27" i="4"/>
  <c r="F27" i="4"/>
  <c r="E27" i="4"/>
  <c r="S27" i="4" s="1"/>
  <c r="AA26" i="4"/>
  <c r="AC26" i="4" s="1"/>
  <c r="Y26" i="4"/>
  <c r="V26" i="4"/>
  <c r="AB26" i="4" s="1"/>
  <c r="R26" i="4"/>
  <c r="U26" i="4" s="1"/>
  <c r="N26" i="4"/>
  <c r="AA25" i="4"/>
  <c r="Y25" i="4"/>
  <c r="S25" i="4"/>
  <c r="R25" i="4"/>
  <c r="I25" i="4"/>
  <c r="J25" i="4" s="1"/>
  <c r="F25" i="4"/>
  <c r="AC24" i="4"/>
  <c r="AB24" i="4"/>
  <c r="AA24" i="4"/>
  <c r="S24" i="4"/>
  <c r="R24" i="4"/>
  <c r="M24" i="4"/>
  <c r="J24" i="4"/>
  <c r="K24" i="4" s="1"/>
  <c r="I24" i="4"/>
  <c r="T24" i="4" s="1"/>
  <c r="F24" i="4"/>
  <c r="F23" i="4" s="1"/>
  <c r="R22" i="4"/>
  <c r="AA22" i="4" s="1"/>
  <c r="J22" i="4"/>
  <c r="K22" i="4" s="1"/>
  <c r="I22" i="4"/>
  <c r="F22" i="4"/>
  <c r="S21" i="4"/>
  <c r="R21" i="4"/>
  <c r="AA21" i="4" s="1"/>
  <c r="M21" i="4"/>
  <c r="J21" i="4"/>
  <c r="K21" i="4" s="1"/>
  <c r="I21" i="4"/>
  <c r="F21" i="4"/>
  <c r="AB20" i="4"/>
  <c r="T20" i="4"/>
  <c r="Y20" i="4" s="1"/>
  <c r="S20" i="4"/>
  <c r="R20" i="4"/>
  <c r="AA20" i="4" s="1"/>
  <c r="AC20" i="4" s="1"/>
  <c r="O20" i="4"/>
  <c r="P20" i="4" s="1"/>
  <c r="J20" i="4"/>
  <c r="K20" i="4" s="1"/>
  <c r="I20" i="4"/>
  <c r="F20" i="4"/>
  <c r="AB19" i="4"/>
  <c r="T19" i="4"/>
  <c r="Y19" i="4" s="1"/>
  <c r="S19" i="4"/>
  <c r="R19" i="4"/>
  <c r="AA19" i="4" s="1"/>
  <c r="AC19" i="4" s="1"/>
  <c r="O19" i="4"/>
  <c r="P19" i="4" s="1"/>
  <c r="J19" i="4"/>
  <c r="K19" i="4" s="1"/>
  <c r="I19" i="4"/>
  <c r="F19" i="4"/>
  <c r="Y18" i="4"/>
  <c r="T18" i="4"/>
  <c r="S18" i="4"/>
  <c r="R18" i="4"/>
  <c r="AA18" i="4" s="1"/>
  <c r="O18" i="4"/>
  <c r="P18" i="4" s="1"/>
  <c r="J18" i="4"/>
  <c r="K18" i="4" s="1"/>
  <c r="I18" i="4"/>
  <c r="F18" i="4"/>
  <c r="AB17" i="4"/>
  <c r="V17" i="4"/>
  <c r="T17" i="4"/>
  <c r="Y17" i="4" s="1"/>
  <c r="S17" i="4"/>
  <c r="R17" i="4"/>
  <c r="AA17" i="4" s="1"/>
  <c r="AC17" i="4" s="1"/>
  <c r="J17" i="4"/>
  <c r="K17" i="4" s="1"/>
  <c r="I17" i="4"/>
  <c r="F17" i="4"/>
  <c r="F15" i="4" s="1"/>
  <c r="AB16" i="4"/>
  <c r="T16" i="4"/>
  <c r="U16" i="4" s="1"/>
  <c r="S16" i="4"/>
  <c r="R16" i="4"/>
  <c r="AA16" i="4" s="1"/>
  <c r="AC16" i="4" s="1"/>
  <c r="P16" i="4"/>
  <c r="I16" i="4"/>
  <c r="J16" i="4" s="1"/>
  <c r="F16" i="4"/>
  <c r="AA14" i="4"/>
  <c r="Y14" i="4"/>
  <c r="S14" i="4"/>
  <c r="R14" i="4"/>
  <c r="M14" i="4"/>
  <c r="O14" i="4" s="1"/>
  <c r="P14" i="4" s="1"/>
  <c r="J14" i="4"/>
  <c r="K14" i="4" s="1"/>
  <c r="I14" i="4"/>
  <c r="T14" i="4" s="1"/>
  <c r="F14" i="4"/>
  <c r="B14" i="4"/>
  <c r="A14" i="4"/>
  <c r="AA13" i="4"/>
  <c r="Y13" i="4"/>
  <c r="T13" i="4"/>
  <c r="S13" i="4"/>
  <c r="R13" i="4"/>
  <c r="P13" i="4"/>
  <c r="I13" i="4"/>
  <c r="J13" i="4" s="1"/>
  <c r="K13" i="4" s="1"/>
  <c r="F13" i="4"/>
  <c r="B13" i="4"/>
  <c r="A13" i="4"/>
  <c r="AB12" i="4"/>
  <c r="AA12" i="4"/>
  <c r="AC12" i="4" s="1"/>
  <c r="S12" i="4"/>
  <c r="R12" i="4"/>
  <c r="I12" i="4"/>
  <c r="T12" i="4" s="1"/>
  <c r="F12" i="4"/>
  <c r="A12" i="4"/>
  <c r="AB11" i="4"/>
  <c r="Y11" i="4"/>
  <c r="T11" i="4"/>
  <c r="S11" i="4"/>
  <c r="R11" i="4"/>
  <c r="AA11" i="4" s="1"/>
  <c r="AC11" i="4" s="1"/>
  <c r="O11" i="4"/>
  <c r="P11" i="4" s="1"/>
  <c r="I11" i="4"/>
  <c r="J11" i="4" s="1"/>
  <c r="K11" i="4" s="1"/>
  <c r="F11" i="4"/>
  <c r="A11" i="4"/>
  <c r="AB10" i="4"/>
  <c r="AA10" i="4"/>
  <c r="AC10" i="4" s="1"/>
  <c r="S10" i="4"/>
  <c r="R10" i="4"/>
  <c r="P10" i="4"/>
  <c r="H10" i="4" s="1"/>
  <c r="I10" i="4" s="1"/>
  <c r="O10" i="4"/>
  <c r="F10" i="4"/>
  <c r="A10" i="4"/>
  <c r="AC9" i="4"/>
  <c r="AB9" i="4"/>
  <c r="AA9" i="4"/>
  <c r="S9" i="4"/>
  <c r="R9" i="4"/>
  <c r="M9" i="4"/>
  <c r="O9" i="4" s="1"/>
  <c r="P9" i="4" s="1"/>
  <c r="H9" i="4" s="1"/>
  <c r="I9" i="4" s="1"/>
  <c r="F9" i="4"/>
  <c r="A9" i="4"/>
  <c r="Y8" i="4"/>
  <c r="R8" i="4"/>
  <c r="AA8" i="4" s="1"/>
  <c r="O8" i="4"/>
  <c r="P8" i="4" s="1"/>
  <c r="E8" i="4"/>
  <c r="I8" i="4" s="1"/>
  <c r="A8" i="4"/>
  <c r="AB7" i="4"/>
  <c r="R7" i="4"/>
  <c r="AA7" i="4" s="1"/>
  <c r="AC7" i="4" s="1"/>
  <c r="O7" i="4"/>
  <c r="P7" i="4" s="1"/>
  <c r="H7" i="4" s="1"/>
  <c r="I7" i="4" s="1"/>
  <c r="M7" i="4"/>
  <c r="F7" i="4"/>
  <c r="E7" i="4"/>
  <c r="S7" i="4" s="1"/>
  <c r="A7" i="4"/>
  <c r="M6" i="4"/>
  <c r="O6" i="4" s="1"/>
  <c r="P6" i="4" s="1"/>
  <c r="H6" i="4" s="1"/>
  <c r="I6" i="4" s="1"/>
  <c r="J6" i="4" s="1"/>
  <c r="K6" i="4" s="1"/>
  <c r="F6" i="4"/>
  <c r="A6" i="4"/>
  <c r="AB5" i="4"/>
  <c r="AA5" i="4"/>
  <c r="AC5" i="4" s="1"/>
  <c r="S5" i="4"/>
  <c r="R5" i="4"/>
  <c r="Q5" i="4"/>
  <c r="O5" i="4"/>
  <c r="P5" i="4" s="1"/>
  <c r="H5" i="4" s="1"/>
  <c r="I5" i="4" s="1"/>
  <c r="M5" i="4"/>
  <c r="F5" i="4"/>
  <c r="A5" i="4"/>
  <c r="T2" i="4"/>
  <c r="E52" i="2"/>
  <c r="E51" i="2"/>
  <c r="B43" i="2"/>
  <c r="D43" i="2" s="1"/>
  <c r="D38" i="2"/>
  <c r="D37" i="2"/>
  <c r="B37" i="2"/>
  <c r="D33" i="2"/>
  <c r="B33" i="2"/>
  <c r="G24" i="2"/>
  <c r="B21" i="2"/>
  <c r="D21" i="2" s="1"/>
  <c r="B20" i="2"/>
  <c r="D20" i="2" s="1"/>
  <c r="B19" i="2"/>
  <c r="D19" i="2" s="1"/>
  <c r="A18" i="2"/>
  <c r="A16" i="2"/>
  <c r="A15" i="2"/>
  <c r="A14" i="2"/>
  <c r="A13" i="2"/>
  <c r="A12" i="2"/>
  <c r="A11" i="2"/>
  <c r="A10" i="2"/>
  <c r="A9" i="2"/>
  <c r="N13" i="1"/>
  <c r="K13" i="1"/>
  <c r="J13" i="1"/>
  <c r="L13" i="1" s="1"/>
  <c r="O2" i="1" s="1"/>
  <c r="I13" i="1"/>
  <c r="H13" i="1"/>
  <c r="G13" i="1"/>
  <c r="R2" i="1" s="1"/>
  <c r="F13" i="1"/>
  <c r="E13" i="1"/>
  <c r="D13" i="1"/>
  <c r="C13" i="1"/>
  <c r="R4" i="1" s="1"/>
  <c r="B13" i="1"/>
  <c r="R5" i="1" s="1"/>
  <c r="R7" i="1"/>
  <c r="R6" i="1"/>
  <c r="O6" i="1"/>
  <c r="O5" i="1"/>
  <c r="O4" i="1"/>
  <c r="R3" i="1"/>
  <c r="O3" i="1"/>
  <c r="J8" i="4" l="1"/>
  <c r="K8" i="4" s="1"/>
  <c r="T8" i="4"/>
  <c r="J26" i="4"/>
  <c r="V14" i="4"/>
  <c r="AB14" i="4" s="1"/>
  <c r="AC14" i="4" s="1"/>
  <c r="U14" i="4"/>
  <c r="J15" i="4"/>
  <c r="K16" i="4"/>
  <c r="K15" i="4" s="1"/>
  <c r="H15" i="4" s="1"/>
  <c r="E36" i="4"/>
  <c r="I36" i="4" s="1"/>
  <c r="J36" i="4" s="1"/>
  <c r="K36" i="4" s="1"/>
  <c r="C55" i="4"/>
  <c r="U24" i="4"/>
  <c r="Y24" i="4"/>
  <c r="T10" i="4"/>
  <c r="J10" i="4"/>
  <c r="K10" i="4" s="1"/>
  <c r="U12" i="4"/>
  <c r="Y12" i="4"/>
  <c r="K23" i="4"/>
  <c r="H23" i="4" s="1"/>
  <c r="K25" i="4"/>
  <c r="J23" i="4"/>
  <c r="T5" i="4"/>
  <c r="J5" i="4"/>
  <c r="T7" i="4"/>
  <c r="J7" i="4"/>
  <c r="K7" i="4" s="1"/>
  <c r="J33" i="4"/>
  <c r="K33" i="4" s="1"/>
  <c r="T33" i="4"/>
  <c r="J9" i="4"/>
  <c r="K9" i="4" s="1"/>
  <c r="T9" i="4"/>
  <c r="F4" i="4"/>
  <c r="J30" i="4"/>
  <c r="K32" i="4"/>
  <c r="K30" i="4" s="1"/>
  <c r="H30" i="4" s="1"/>
  <c r="S8" i="4"/>
  <c r="U11" i="4"/>
  <c r="U13" i="4"/>
  <c r="Y32" i="4"/>
  <c r="F8" i="4"/>
  <c r="Y16" i="4"/>
  <c r="Y27" i="4"/>
  <c r="Y31" i="4"/>
  <c r="T34" i="4"/>
  <c r="J12" i="4"/>
  <c r="K12" i="4" s="1"/>
  <c r="T25" i="4"/>
  <c r="K27" i="4"/>
  <c r="U17" i="4"/>
  <c r="U18" i="4"/>
  <c r="U19" i="4"/>
  <c r="U20" i="4"/>
  <c r="W17" i="4"/>
  <c r="F28" i="4"/>
  <c r="K28" i="4" s="1"/>
  <c r="F26" i="4" l="1"/>
  <c r="V34" i="4"/>
  <c r="AB34" i="4" s="1"/>
  <c r="AC34" i="4" s="1"/>
  <c r="U34" i="4"/>
  <c r="C53" i="4"/>
  <c r="F43" i="4"/>
  <c r="Y7" i="4"/>
  <c r="U7" i="4"/>
  <c r="U10" i="4"/>
  <c r="Y10" i="4"/>
  <c r="W14" i="4"/>
  <c r="V25" i="4"/>
  <c r="AB25" i="4" s="1"/>
  <c r="AC25" i="4" s="1"/>
  <c r="U25" i="4"/>
  <c r="U33" i="4"/>
  <c r="U9" i="4"/>
  <c r="Y9" i="4"/>
  <c r="C65" i="4"/>
  <c r="K26" i="4"/>
  <c r="H26" i="4" s="1"/>
  <c r="Y5" i="4"/>
  <c r="U5" i="4"/>
  <c r="J4" i="4"/>
  <c r="J43" i="4" s="1"/>
  <c r="K5" i="4"/>
  <c r="K4" i="4" s="1"/>
  <c r="V8" i="4"/>
  <c r="AB8" i="4" s="1"/>
  <c r="AC8" i="4" s="1"/>
  <c r="U8" i="4"/>
  <c r="C64" i="4" l="1"/>
  <c r="E53" i="4"/>
  <c r="F44" i="4"/>
  <c r="F45" i="4"/>
  <c r="J44" i="4"/>
  <c r="J45" i="4" s="1"/>
  <c r="C51" i="4"/>
  <c r="W8" i="4"/>
  <c r="K43" i="4"/>
  <c r="H43" i="4" s="1"/>
  <c r="H4" i="4"/>
  <c r="U43" i="4"/>
  <c r="W34" i="4"/>
  <c r="W25" i="4"/>
  <c r="E61" i="4" l="1"/>
  <c r="C57" i="4"/>
  <c r="C60" i="4"/>
  <c r="E48" i="4"/>
  <c r="C66" i="4" s="1"/>
  <c r="E55" i="4"/>
  <c r="C63" i="4"/>
  <c r="E63" i="4" l="1"/>
  <c r="E60" i="4"/>
  <c r="C59" i="4"/>
  <c r="E57" i="4"/>
  <c r="C52" i="4"/>
  <c r="F61" i="4" l="1"/>
  <c r="F52" i="4"/>
  <c r="E52" i="4"/>
  <c r="F55" i="4"/>
  <c r="F53" i="4"/>
  <c r="C68" i="4"/>
  <c r="F63" i="4"/>
  <c r="F57" i="4"/>
  <c r="F59" i="4"/>
  <c r="E59" i="4"/>
  <c r="F60" i="4"/>
  <c r="E68" i="4" l="1"/>
  <c r="C69" i="4"/>
  <c r="F68" i="4"/>
  <c r="C71" i="4" l="1"/>
  <c r="C70" i="4"/>
  <c r="F69" i="4"/>
  <c r="E69" i="4"/>
  <c r="F71" i="4" l="1"/>
  <c r="E71" i="4"/>
  <c r="T1" i="4"/>
  <c r="U2" i="4" l="1"/>
  <c r="V31" i="4" l="1"/>
  <c r="W31" i="4" s="1"/>
  <c r="V32" i="4"/>
  <c r="W32" i="4" s="1"/>
  <c r="V27" i="4"/>
  <c r="W27" i="4" s="1"/>
  <c r="V16" i="4"/>
  <c r="W16" i="4" s="1"/>
  <c r="V19" i="4"/>
  <c r="W19" i="4" s="1"/>
  <c r="V18" i="4"/>
  <c r="V24" i="4"/>
  <c r="W24" i="4" s="1"/>
  <c r="V20" i="4"/>
  <c r="W20" i="4" s="1"/>
  <c r="V11" i="4"/>
  <c r="W11" i="4" s="1"/>
  <c r="V12" i="4"/>
  <c r="W12" i="4" s="1"/>
  <c r="V13" i="4"/>
  <c r="V7" i="4"/>
  <c r="W7" i="4" s="1"/>
  <c r="V5" i="4"/>
  <c r="W5" i="4" s="1"/>
  <c r="V10" i="4"/>
  <c r="W10" i="4" s="1"/>
  <c r="V9" i="4"/>
  <c r="W9" i="4" s="1"/>
  <c r="V33" i="4"/>
  <c r="AB18" i="4" l="1"/>
  <c r="AC18" i="4" s="1"/>
  <c r="W18" i="4"/>
  <c r="AB33" i="4"/>
  <c r="AC33" i="4" s="1"/>
  <c r="W33" i="4"/>
  <c r="AB13" i="4"/>
  <c r="AC13" i="4" s="1"/>
  <c r="AC43" i="4" s="1"/>
  <c r="Y1" i="4" s="1"/>
  <c r="Y2" i="4" s="1"/>
  <c r="W13" i="4"/>
</calcChain>
</file>

<file path=xl/sharedStrings.xml><?xml version="1.0" encoding="utf-8"?>
<sst xmlns="http://schemas.openxmlformats.org/spreadsheetml/2006/main" count="332" uniqueCount="237">
  <si>
    <t>TỔNG CAMERA</t>
  </si>
  <si>
    <t>TỦ 2U</t>
  </si>
  <si>
    <t>Camera Thân</t>
  </si>
  <si>
    <t>TỦ 6U</t>
  </si>
  <si>
    <t>Camera Dome</t>
  </si>
  <si>
    <t>PDU</t>
  </si>
  <si>
    <t>SWPOE 24</t>
  </si>
  <si>
    <t>Converter</t>
  </si>
  <si>
    <t>SWPOE 16</t>
  </si>
  <si>
    <t>UPS 610</t>
  </si>
  <si>
    <t>Tổng mét cáp</t>
  </si>
  <si>
    <t>THÁP I</t>
  </si>
  <si>
    <t>I</t>
  </si>
  <si>
    <t>UPS AR610 1K</t>
  </si>
  <si>
    <t>SW 24</t>
  </si>
  <si>
    <t>SW16</t>
  </si>
  <si>
    <t>TU 2U</t>
  </si>
  <si>
    <t>TU 6U</t>
  </si>
  <si>
    <t>CAM VỀ TỦ</t>
  </si>
  <si>
    <t>CAMERA THAN</t>
  </si>
  <si>
    <t>Camera DOME</t>
  </si>
  <si>
    <t>Tổng CAM</t>
  </si>
  <si>
    <t>TANG</t>
  </si>
  <si>
    <t>Mét cáp</t>
  </si>
  <si>
    <t xml:space="preserve">KHỐI LƯỢNG BOQ </t>
  </si>
  <si>
    <t>Ngày update: 16.07.2026</t>
  </si>
  <si>
    <t>Công triển khai căn cứ vào bảng khối lượng nhân công</t>
  </si>
  <si>
    <t>STT</t>
  </si>
  <si>
    <t>VẬT TƯ</t>
  </si>
  <si>
    <t>MÔ TẢ</t>
  </si>
  <si>
    <t>Đ.VỊ</t>
  </si>
  <si>
    <t>SLG</t>
  </si>
  <si>
    <t>Nhân công</t>
  </si>
  <si>
    <t>Tổng nhân công</t>
  </si>
  <si>
    <t>GHI CHÚ</t>
  </si>
  <si>
    <t>I. HẠNG MỤC VẬT TƯ CHÍNH VÀ GIÁM SÁT VÀ ĐỊNH TUYẾN</t>
  </si>
  <si>
    <t>Camera IP Dome 2MP HIKVISION
DS-2CD1121G0-I</t>
  </si>
  <si>
    <t>- Cảm biến ảnh: CMOS 1/2.9″ 2.0megapixel
- Chuẩn nén H.265+/ H.265/ H.264+/ H.264
- Độ phân giải 1920×1080
- Tính năng lọc hồng ngoại ICR, 0lux với hồng ngoại
- Ống kính 2.8mm
- Công suất tiêu thụ tối đa: 6,5W</t>
  </si>
  <si>
    <t>Cái</t>
  </si>
  <si>
    <t>Camera IP thân 2MP HIKVISION 
DS-2CD1021G0-I</t>
  </si>
  <si>
    <t>- Cảm biến ảnh: CMOS 1/2.9″ 2.0megapixel
- Chuẩn nén H.265+/ H.265/ H.264+/ H.264
- Độ phân giải 1920×1080
- Tính năng lọc hồng ngoại ICR, 0lux với hồng ngoại
- Ống kính 2.8/4mm
- Công suất tiêu thụ tối đa: 6,5W</t>
  </si>
  <si>
    <t>Đầu ghi hình camera IP 16 kênh HIKVISION DS-7716NXI-K4</t>
  </si>
  <si>
    <t>– Chuẩn nén H.265+/H.265/H.264+/H.264
– Hỗ trợ độ phân giải ghi hình lên đến 12MP
– Băng thông đầu vào 160Mbps
– Băng thông đầu ra 160Mbps
– Hỗ trợ 4 ổ cứng, dung lượng tối đa mỗi ổ 10TB
- Công suất tiêu thụ tối đa: ≤ 20 W (Không HDD)</t>
  </si>
  <si>
    <t>Đầu ghi hình camera IP 32 kênh HIKVISION DS-7732NXI-K4</t>
  </si>
  <si>
    <t>– Chuẩn nén H.265+/H.265/H.264+/H.264
– Hỗ trợ độ phân giải ghi hình lên đến 12MP
– Băng thông đầu vào 256Mbps
– Băng thông đầu ra 160Mbps
– Hỗ trợ 4 ổ cứng, dung lượng tối đa mỗi ổ 10TB
- Công suất tiêu thụ tối đa: ≤ 20 W (Không HDD)</t>
  </si>
  <si>
    <t>Ổ Cứng 10T WESTERN
WD101PURP</t>
  </si>
  <si>
    <t>- Ổ cứng HDD chuyên nghiệp cho camera.
- Dung lượng: 10TB
- Kết nối: SATA III
- Công suất tiêu thụ tối đa: 9W</t>
  </si>
  <si>
    <t>Switch Hikvision POE 16 cổng DS-3E1318P-EI</t>
  </si>
  <si>
    <t>-Switch mạng thông minh 16 cổng PoE.
-Hỗ trợ tính năng cấu hình quản lý bằng phần mềm.
-16 cổng PoE RJ45 100Mbps, 2 cổng RJ45 Gigabit, 2 cổng quang
-Tự tương thích chuẩn IEEE 802.3af/at.
- Công suất tiêu thụ tối đa: 250W</t>
  </si>
  <si>
    <t>Switch Hikvision POE 24 cổng DS-3E1326P-EI</t>
  </si>
  <si>
    <t>-Switch mạng thông minh 24 cổng PoE.
- Hỗ trợ tính năng cấu hình quản lý bằng phần mềm.
- 24 cổng PoE RJ45 100Mbps , 2 cổng RJ45 Gigabit , 2 cổng quang
- Tương thích chuẩn IEEE 802.3af/at.
- Công suất tiêu thụ tối đa: 400W</t>
  </si>
  <si>
    <t>Switch 16 port CISCO CBS110-16T-EU</t>
  </si>
  <si>
    <t>- Hỗ trợ 16 cổng Gigabit Ethernet RJ-45
- Công suất tiêu thụ tối đa: 9,96W</t>
  </si>
  <si>
    <t>Switch 24 port CISCO CBS110-16T-EU</t>
  </si>
  <si>
    <t>Màn hình quan sát 43 inch SamSung</t>
  </si>
  <si>
    <t>- Kích cỡ màn hình: 43 inch
- Thương hiệu: Samsung
- khung kệ + HDMI (15m)
- Công suất tiêu thụ tối đa: 115W (Thông số tham khảo)</t>
  </si>
  <si>
    <t>Bộ</t>
  </si>
  <si>
    <t>II. HẠNG MỤC TRUYỀN DẪN</t>
  </si>
  <si>
    <t xml:space="preserve">Cáp quang 4FO </t>
  </si>
  <si>
    <t>- Loại sợi quang: Singlemode
- Số sợi quang: 4
- Đường kính cáp: 6 mm ±0,3</t>
  </si>
  <si>
    <t>Mét</t>
  </si>
  <si>
    <t>Cáp mạng Cat5E</t>
  </si>
  <si>
    <t>- Chuẩn cáp: Cat5e (ANSI/TIA-568.2-D)
- Loại cáp: U/UTP – 4 Pair</t>
  </si>
  <si>
    <t>LS/Panduit/Comspose</t>
  </si>
  <si>
    <t>- Chuẩn cáp: Cat6 (ANSI/TIA-568.2-D)
- Loại cáp: U/UTP – 4 Pair</t>
  </si>
  <si>
    <t>Bộ chuyển đổi quang điện Gigabit GNETCOM 10/100/1000M GNC-2111S-20A/B</t>
  </si>
  <si>
    <t>- Bộ chuyển đổi quang điện 10/100/1000M - Single Fiber/ Multi mode (1 Sợi quang) 
- Hỗ trợ bước sóng 1310nm/1550nm
- Multi-Mode:2 km; Single-Mode:20km
- One optical port: SC
- Công suất tiêu thụ tối đa: &lt;5W</t>
  </si>
  <si>
    <t>Khay nguồn tập trung converter quang GNET HHD-G14M</t>
  </si>
  <si>
    <t>- Vỏ kim loại, Satndard 19 inch, chiều cao 2U
- Hỗ trợ tối đa 14 cái 10/100M, 10/100/ 1000M Bộ chuyển đổi phương tiện độc lập
- Nguồn điện AC 220V dự phòng
- Công suất tiêu thụ tối đa: 40W (tham khảo)</t>
  </si>
  <si>
    <t>Tủ mạng rack 2U</t>
  </si>
  <si>
    <t>- Tủ Rack treo tường, chuẩn rack 19 inch, Chiều cao 2U
- Kích thước (WxHxD) 440x120x370 mm</t>
  </si>
  <si>
    <t>Tủ mạng rack 6U</t>
  </si>
  <si>
    <t>- Tủ Rack treo tường, chuẩn rack 19 inch, Chiều cao 6U
- Kích thước (WxHxD) 550x320x400 mm</t>
  </si>
  <si>
    <t>Tủ mạng rack 10U( Có bánh xe)</t>
  </si>
  <si>
    <t>– Tủ Rack 10U D600 có bánh xe, màu Đen
– Kích thước: H520xW550xD600mm</t>
  </si>
  <si>
    <t>Tủ mạng rack 32U</t>
  </si>
  <si>
    <t>- Kích thước: W600xH205xD1000
- Chuẩn rack 19 inch
- Cửa trước là cửa cánh lưới, có khóa an toàn
- Cửa sau là cửa cánh tôn, có khóa an toàn</t>
  </si>
  <si>
    <t xml:space="preserve">ODF 12FO SC/UPC (Full Phụ kiện)   </t>
  </si>
  <si>
    <t>ODF 24FO SC/UPC (Full Phụ kiện)</t>
  </si>
  <si>
    <t>- Hộp phối quang ODF Rack Mount dung lượng 24 cổng.
- Trang bị đầy đủ adapter SC/UPC.
- Kèm dây pigtail SC/UPC.
- Chuẩn rack 1U, lắp đặt trong tủ rack 19 inch.</t>
  </si>
  <si>
    <t>III. HẠNG MỤC ĐIỆN</t>
  </si>
  <si>
    <t>- Tiết diện danh định 2×2.5 mm2
- Cấp điện áp 300/500
- Chất liệu Ruột đồng, vỏ nhựa PVC</t>
  </si>
  <si>
    <t>=converter*20+30(FCC)</t>
  </si>
  <si>
    <t>Thanh nguồn PDU đa năng 6 ổ cắm 3 chấu chuẩn 19"</t>
  </si>
  <si>
    <t>– Kích thước: 19″
– Số ổ: 06 ổ cắm 3 chấu
– Công suất tối đa: 20A
– Cáp nguồn: 2m (3×1.5mm2)</t>
  </si>
  <si>
    <t>IV. HẠNG MỤC NGUỒN DỰ PHÒNG</t>
  </si>
  <si>
    <t>Nguồn lưu điện UPS ARES Model AR610 1000VA/800W</t>
  </si>
  <si>
    <t>- Công suất: 1000VA/800W
- Nguồn điện vào: 220V / 230V / 240V 
- Nguồn điện ra: 220V/230V/240VAC ± 5%
- Tần số nguồn ra: 50/60Hz  ± 0.3Hz
- Ắc quy: 2x12V/7AH</t>
  </si>
  <si>
    <t>Nguồn lưu điện UPS ARES Model AR630 3000VA-2400W</t>
  </si>
  <si>
    <t>- Công suất: 3000VA/2400W
- Nguồn điện vào: 220V / 230V / 240V 
- Nguồn điện ra: 220V/230V/240VAC ± 5%
- Tần số nguồn ra: 50/60Hz  ± 0.3Hz
- Ắc quy: 4x12V/9AH</t>
  </si>
  <si>
    <t>V. VẬT TƯ PHỤ</t>
  </si>
  <si>
    <t>Bao gồm bọ, vít, tacke…</t>
  </si>
  <si>
    <t>Dự kiến 1,500,000 VNĐ/10 Camera</t>
  </si>
  <si>
    <t>1.1</t>
  </si>
  <si>
    <t>Vật tư phụ kết nối</t>
  </si>
  <si>
    <t>Gói</t>
  </si>
  <si>
    <t>Đầu mạng AMP Cat 5</t>
  </si>
  <si>
    <t>Dây nhảy quang SC/UPC SC/UPC 3M</t>
  </si>
  <si>
    <t xml:space="preserve">Sợi </t>
  </si>
  <si>
    <t>ODF 4FO SC/UPC - SC/UPC (Full phụ kiện)</t>
  </si>
  <si>
    <t>Dây nhảy mạng Cat5</t>
  </si>
  <si>
    <t>Dintek/AMP/Panduit</t>
  </si>
  <si>
    <t>Thanh quản lý cáp mạng 19inch</t>
  </si>
  <si>
    <t>Vật tư phụ thi công</t>
  </si>
  <si>
    <t>Ruột gà phi 20</t>
  </si>
  <si>
    <t>Triển khai bóc tách</t>
  </si>
  <si>
    <t>Ống điện phi 20</t>
  </si>
  <si>
    <t>VI. CHI PHÍ LẮP ĐẶT</t>
  </si>
  <si>
    <t>Chi phí lắp đặt</t>
  </si>
  <si>
    <t>Thi công trọn gói và hướng dẫn vận hành</t>
  </si>
  <si>
    <t>Nhân công Cấu hình thiết lập</t>
  </si>
  <si>
    <t>Công</t>
  </si>
  <si>
    <t>7 Ngày hoặc chạy song song với triển khai hạ tầng</t>
  </si>
  <si>
    <t>Thiết lập cấu hình</t>
  </si>
  <si>
    <t>30 camera/1 công</t>
  </si>
  <si>
    <t>Hồ sơ hướng dẫn</t>
  </si>
  <si>
    <t>Kiểm thữ T&amp;C</t>
  </si>
  <si>
    <t>Dự trù Thay đổi cấu hình phát sinh</t>
  </si>
  <si>
    <t>Nghiệm thu</t>
  </si>
  <si>
    <t>Bảo hành thiết lập</t>
  </si>
  <si>
    <t>Nhân công nhà cung cấp</t>
  </si>
  <si>
    <t>Liên hệ nhà cung cấp</t>
  </si>
  <si>
    <t>Triển khai</t>
  </si>
  <si>
    <t>Ngày 04 tháng 07 năm 2026</t>
  </si>
  <si>
    <t>Người lập</t>
  </si>
  <si>
    <t>DƯƠNG QUỐC THƯƠNG</t>
  </si>
  <si>
    <t>THÁP A</t>
  </si>
  <si>
    <t>Tủ</t>
  </si>
  <si>
    <t>Tầng camera</t>
  </si>
  <si>
    <t>Tầng đặt tủ</t>
  </si>
  <si>
    <t>Số camera</t>
  </si>
  <si>
    <t>Mét AutoCAD</t>
  </si>
  <si>
    <t>Thông tầng</t>
  </si>
  <si>
    <t>Xuống tủ</t>
  </si>
  <si>
    <t>Trong tủ</t>
  </si>
  <si>
    <t>Tổng cáp/tầng</t>
  </si>
  <si>
    <t>PHÂN TÍCH LÃI LỖ HỆ THỐNG 127 CAMERA SUNRISE LÔ E</t>
  </si>
  <si>
    <t>Giá trị phải phân bổ</t>
  </si>
  <si>
    <t>ĐÃ PHÂN BỔ</t>
  </si>
  <si>
    <t>NỘI DUNG CÔNG VIỆC</t>
  </si>
  <si>
    <t>GIÁ NHẬP</t>
  </si>
  <si>
    <t>GIÁ BÁN</t>
  </si>
  <si>
    <t xml:space="preserve">GIÁ NIÊM YẾT </t>
  </si>
  <si>
    <t>% GIẢM</t>
  </si>
  <si>
    <t>Giá bán ra</t>
  </si>
  <si>
    <t>% lãi</t>
  </si>
  <si>
    <t>Giá trị được chọn pb</t>
  </si>
  <si>
    <t>Giá trị còn lại phải pb</t>
  </si>
  <si>
    <t>G.Đơn vị</t>
  </si>
  <si>
    <t>Thành tiền</t>
  </si>
  <si>
    <t>VNĐ</t>
  </si>
  <si>
    <t>%</t>
  </si>
  <si>
    <t>Lợi nhuận</t>
  </si>
  <si>
    <t>giá bán/giá nhập</t>
  </si>
  <si>
    <t>SL</t>
  </si>
  <si>
    <t>Giá ncc</t>
  </si>
  <si>
    <t xml:space="preserve">Giá báo </t>
  </si>
  <si>
    <t>Giá sau PB
 LẦN 1</t>
  </si>
  <si>
    <t>%tăng 
so với giá trị báo</t>
  </si>
  <si>
    <t>Giá sau PB LẦN 2</t>
  </si>
  <si>
    <t xml:space="preserve">SL PB </t>
  </si>
  <si>
    <t>SL CUỐI</t>
  </si>
  <si>
    <t xml:space="preserve">ĐƠN GIÁ </t>
  </si>
  <si>
    <t>THÀNH TIỀN</t>
  </si>
  <si>
    <t>Mã Pb</t>
  </si>
  <si>
    <t>HỆ THỐNG CAMERA</t>
  </si>
  <si>
    <t>Ổ Cứng 8T WESTERN</t>
  </si>
  <si>
    <t>Màn hình quan sát SamSung 43inch</t>
  </si>
  <si>
    <t>II</t>
  </si>
  <si>
    <t>HẠNG MỤC TRUYỀN DẪN</t>
  </si>
  <si>
    <t xml:space="preserve">Mét </t>
  </si>
  <si>
    <t>Converter A/B 1000M</t>
  </si>
  <si>
    <t xml:space="preserve">Bộ </t>
  </si>
  <si>
    <t>Tủ mạng rack 10U</t>
  </si>
  <si>
    <t>Tủ mạng rack 42U</t>
  </si>
  <si>
    <t xml:space="preserve">ODF 12 FO </t>
  </si>
  <si>
    <t>III .</t>
  </si>
  <si>
    <t xml:space="preserve">HẠNG MỤC ĐIỆN </t>
  </si>
  <si>
    <t>Dây điện CVV 2x2.5</t>
  </si>
  <si>
    <t>IV .</t>
  </si>
  <si>
    <t>HẠNG MỤC ĐIỆN DỰ PHÒNG</t>
  </si>
  <si>
    <t>Nguồn lưu điện 2KVA  UPS</t>
  </si>
  <si>
    <t>Nguồn lưu điện 1K2VA UPS</t>
  </si>
  <si>
    <t xml:space="preserve">Nguồn lưu điện 3KVA UPS </t>
  </si>
  <si>
    <t>IV. VẬT TƯ PHỤ</t>
  </si>
  <si>
    <t xml:space="preserve">Vật tư phụ </t>
  </si>
  <si>
    <t>Dây nhảy quang SC-UPC/SC-UPC (3 Mét)</t>
  </si>
  <si>
    <t xml:space="preserve">Ruột gà phi 20 </t>
  </si>
  <si>
    <t>ODF 2FO</t>
  </si>
  <si>
    <t>https://dienmayhoanghai.vn/tivi-samsung/smart-tivi-samsung-4k-50-inch-50au7002-uhd-moi-2022.html</t>
  </si>
  <si>
    <t xml:space="preserve">V. </t>
  </si>
  <si>
    <t>NHÂN CÔNG</t>
  </si>
  <si>
    <t>Nhân công thi công</t>
  </si>
  <si>
    <t>Nhân công giám sát</t>
  </si>
  <si>
    <t>Công thiết kế, khảo sát</t>
  </si>
  <si>
    <t>Công báo giá, hồ sơ thầu</t>
  </si>
  <si>
    <t>Chi phí cơm</t>
  </si>
  <si>
    <t>Chi phí nước</t>
  </si>
  <si>
    <t>Ngày</t>
  </si>
  <si>
    <t>TỔNG CỘNG (CHƯA VAT)</t>
  </si>
  <si>
    <t>VAT 10%</t>
  </si>
  <si>
    <t>TỔNG CỘNG (BAO GỒM VAT 10%)</t>
  </si>
  <si>
    <t>Lãi suất vay (%/năm)</t>
  </si>
  <si>
    <t>Vòng đời vốn (tháng)</t>
  </si>
  <si>
    <t>Giá trị bảo lãnh Bảo hành</t>
  </si>
  <si>
    <t>Thời gian Bảo lãnh Bảo hành (tháng)</t>
  </si>
  <si>
    <t>HIỆU QUẢ DỰ ÁN / GÓI THẦU</t>
  </si>
  <si>
    <t>%/DT</t>
  </si>
  <si>
    <t>%/CP</t>
  </si>
  <si>
    <t>Doanh thu</t>
  </si>
  <si>
    <t>Chi phí</t>
  </si>
  <si>
    <t>Chi phí thiết bị</t>
  </si>
  <si>
    <t>Chi phí vật tư</t>
  </si>
  <si>
    <t>Chi phí nhân công</t>
  </si>
  <si>
    <t>Chi phí vận chuyển</t>
  </si>
  <si>
    <t>Chi phí bảo hiểm công cộng  (0.1% DT)</t>
  </si>
  <si>
    <t>Chi phí bão lãnh thực hiện Hợp đồng (200tr)</t>
  </si>
  <si>
    <t>Chi phí khác</t>
  </si>
  <si>
    <t>Chi phí Lobby 1 (3% doanh thu)</t>
  </si>
  <si>
    <t>Chi phí Lobby 2</t>
  </si>
  <si>
    <t>Chi phí Lobby 3</t>
  </si>
  <si>
    <t>CP lãi vay</t>
  </si>
  <si>
    <t>CP lãi vay mua thiết bị</t>
  </si>
  <si>
    <t>CP lãi vay nhân công thi công</t>
  </si>
  <si>
    <t>CP lãi vay các khoản bảo lảnh</t>
  </si>
  <si>
    <t xml:space="preserve"> </t>
  </si>
  <si>
    <t>CP Bảo lãnh khác</t>
  </si>
  <si>
    <t>LN trước thuế + trước lãi (EBIT) 
( Đã trừ chi phí lobby)</t>
  </si>
  <si>
    <t>LN trước thuế (EBT)  (4)-(3)</t>
  </si>
  <si>
    <t>Thuế TNDN 20%
 ( Đã bao gồm 20% TNDN của chi phí Lobby)</t>
  </si>
  <si>
    <t>LN sau thuế</t>
  </si>
  <si>
    <t>Kế toán</t>
  </si>
  <si>
    <t>Kiểm Soát</t>
  </si>
  <si>
    <t>Kinh Doanh</t>
  </si>
  <si>
    <t>Võ Thị Hồng Huệ</t>
  </si>
  <si>
    <t>Dương Truân</t>
  </si>
  <si>
    <t>Đặng Thị Diễm 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</si>
</sst>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&quot;Ngày&quot;\ dd&quot;  Tháng&quot;\ mm\ \ &quot;Năm&quot;\ yyyy"/>
  </numFmts>
  <fonts count="6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Times New Roman"/>
      <family val="1"/>
    </font>
    <font>
      <sz val="13"/>
      <color theme="1"/>
      <name val="Calibri"/>
      <family val="2"/>
      <scheme val="minor"/>
    </font>
    <font>
      <sz val="11"/>
      <color indexed="8"/>
      <name val="Arial"/>
      <family val="2"/>
      <charset val="1"/>
    </font>
    <font>
      <sz val="13"/>
      <color theme="1"/>
      <name val="Times New Roman"/>
      <family val="2"/>
    </font>
    <font>
      <sz val="15"/>
      <color theme="1"/>
      <name val="Times New Roman"/>
      <family val="1"/>
    </font>
    <font>
      <sz val="18"/>
      <color theme="1"/>
      <name val="Times New Roman"/>
      <family val="1"/>
    </font>
    <font>
      <u/>
      <sz val="13"/>
      <color theme="10"/>
      <name val="Times New Roman"/>
      <family val="2"/>
    </font>
    <font>
      <sz val="25"/>
      <color theme="1"/>
      <name val="Times New Roman"/>
      <family val="1"/>
    </font>
    <font>
      <sz val="15"/>
      <color theme="1"/>
      <name val="Calibri"/>
      <family val="2"/>
      <scheme val="minor"/>
    </font>
    <font>
      <sz val="17"/>
      <color theme="1"/>
      <name val="Times New Roman"/>
      <family val="1"/>
    </font>
    <font>
      <sz val="26"/>
      <color theme="1"/>
      <name val="Times New Roman"/>
      <family val="1"/>
    </font>
    <font>
      <sz val="26"/>
      <name val="Times New Roman"/>
      <family val="1"/>
    </font>
    <font>
      <b/>
      <sz val="26"/>
      <color theme="1"/>
      <name val="Times New Roman"/>
      <family val="1"/>
    </font>
    <font>
      <b/>
      <sz val="24"/>
      <color theme="1"/>
      <name val="Times New Roman"/>
      <family val="1"/>
    </font>
    <font>
      <sz val="24"/>
      <color theme="1"/>
      <name val="Times New Roman"/>
      <family val="1"/>
    </font>
    <font>
      <sz val="22"/>
      <name val="Times New Roman"/>
      <family val="1"/>
    </font>
    <font>
      <b/>
      <sz val="22"/>
      <color theme="1"/>
      <name val="Times New Roman"/>
      <family val="1"/>
    </font>
    <font>
      <b/>
      <sz val="28"/>
      <name val="Times New Roman"/>
      <family val="1"/>
    </font>
    <font>
      <b/>
      <i/>
      <u/>
      <sz val="28"/>
      <name val="Times New Roman"/>
      <family val="1"/>
    </font>
    <font>
      <sz val="28"/>
      <name val="Times New Roman"/>
      <family val="1"/>
    </font>
    <font>
      <i/>
      <sz val="28"/>
      <name val="Times New Roman"/>
      <family val="1"/>
    </font>
    <font>
      <sz val="28"/>
      <color theme="1"/>
      <name val="Times New Roman"/>
      <family val="1"/>
    </font>
    <font>
      <b/>
      <sz val="28"/>
      <color theme="1"/>
      <name val="Times New Roman"/>
      <family val="1"/>
    </font>
    <font>
      <b/>
      <sz val="25"/>
      <color theme="1"/>
      <name val="Times New Roman"/>
      <family val="1"/>
    </font>
    <font>
      <b/>
      <sz val="20"/>
      <color rgb="FFFF0000"/>
      <name val="Times New Roman"/>
      <family val="1"/>
    </font>
    <font>
      <b/>
      <sz val="28"/>
      <color rgb="FFFF0000"/>
      <name val="Times New Roman"/>
      <family val="1"/>
    </font>
    <font>
      <sz val="20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0"/>
      <color theme="1"/>
      <name val="Times New Roman"/>
      <family val="1"/>
    </font>
    <font>
      <b/>
      <sz val="20"/>
      <color theme="1"/>
      <name val="Calibri Light"/>
      <family val="1"/>
      <scheme val="major"/>
    </font>
    <font>
      <sz val="20"/>
      <color rgb="FFFF0000"/>
      <name val="Calibri"/>
      <family val="2"/>
      <scheme val="minor"/>
    </font>
    <font>
      <sz val="20"/>
      <color theme="1"/>
      <name val="Times New Roman"/>
      <family val="1"/>
    </font>
    <font>
      <sz val="20"/>
      <name val="Times New Roman"/>
      <family val="1"/>
    </font>
    <font>
      <sz val="20"/>
      <color rgb="FF202124"/>
      <name val="Times New Roman"/>
      <family val="1"/>
    </font>
    <font>
      <u/>
      <sz val="20"/>
      <color theme="10"/>
      <name val="Calibri"/>
      <family val="2"/>
      <scheme val="minor"/>
    </font>
    <font>
      <b/>
      <sz val="20"/>
      <name val="Times New Roman"/>
      <family val="1"/>
    </font>
    <font>
      <sz val="20"/>
      <color rgb="FFFF0000"/>
      <name val="Times New Roman"/>
      <family val="1"/>
    </font>
    <font>
      <b/>
      <sz val="20"/>
      <color theme="4" tint="-0.499984740745262"/>
      <name val="Times New Roman"/>
      <family val="1"/>
    </font>
    <font>
      <b/>
      <sz val="20"/>
      <color theme="4" tint="-0.249977111117893"/>
      <name val="Times New Roman"/>
      <family val="1"/>
    </font>
    <font>
      <b/>
      <i/>
      <sz val="20"/>
      <color indexed="8"/>
      <name val="Times New Roman"/>
      <family val="1"/>
    </font>
    <font>
      <b/>
      <sz val="20"/>
      <color rgb="FF800000"/>
      <name val="Times New Roman"/>
      <family val="1"/>
    </font>
    <font>
      <b/>
      <sz val="20"/>
      <color indexed="8"/>
      <name val="Times New Roman"/>
      <family val="1"/>
    </font>
    <font>
      <i/>
      <sz val="20"/>
      <color indexed="8"/>
      <name val="Times New Roman"/>
      <family val="1"/>
    </font>
    <font>
      <b/>
      <i/>
      <sz val="20"/>
      <color theme="1"/>
      <name val="Times New Roman"/>
      <family val="1"/>
    </font>
    <font>
      <b/>
      <sz val="20"/>
      <color theme="4"/>
      <name val="Times New Roman"/>
      <family val="1"/>
    </font>
    <font>
      <sz val="11"/>
      <color theme="1"/>
      <name val="Calibri"/>
      <family val="2"/>
      <charset val="163"/>
      <scheme val="minor"/>
    </font>
    <font>
      <sz val="36"/>
      <color theme="1"/>
      <name val="Times New Roman"/>
      <family val="1"/>
    </font>
    <font>
      <b/>
      <sz val="26"/>
      <name val="Times New Roman"/>
      <family val="1"/>
    </font>
    <font>
      <b/>
      <i/>
      <u/>
      <sz val="26"/>
      <name val="Times New Roman"/>
      <family val="1"/>
    </font>
    <font>
      <sz val="30"/>
      <color theme="1"/>
      <name val="Times New Roman"/>
      <family val="1"/>
    </font>
    <font>
      <sz val="2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rgb="FFFFFFFF"/>
      <name val="Times New Roman"/>
      <family val="1"/>
    </font>
    <font>
      <sz val="26"/>
      <color rgb="FFFF0000"/>
      <name val="Times New Roman"/>
      <family val="1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3A7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F4E78"/>
      </patternFill>
    </fill>
    <fill>
      <patternFill patternType="solid">
        <fgColor rgb="FF00B0F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rgb="FFDADCE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auto="1"/>
      </bottom>
      <diagonal/>
    </border>
    <border>
      <left/>
      <right style="thin">
        <color auto="1"/>
      </right>
      <top style="dashed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auto="1"/>
      </left>
      <right style="thin">
        <color indexed="64"/>
      </right>
      <top/>
      <bottom style="dashed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40">
    <xf numFmtId="0" fontId="0" fillId="0" borderId="0"/>
    <xf numFmtId="43" fontId="1" fillId="0" borderId="0"/>
    <xf numFmtId="0" fontId="3" fillId="0" borderId="0"/>
    <xf numFmtId="43" fontId="4" fillId="0" borderId="0"/>
    <xf numFmtId="9" fontId="1" fillId="0" borderId="0"/>
    <xf numFmtId="0" fontId="7" fillId="0" borderId="0"/>
    <xf numFmtId="43" fontId="8" fillId="0" borderId="0"/>
    <xf numFmtId="0" fontId="8" fillId="0" borderId="0"/>
    <xf numFmtId="43" fontId="8" fillId="0" borderId="0"/>
    <xf numFmtId="0" fontId="8" fillId="0" borderId="0"/>
    <xf numFmtId="0" fontId="8" fillId="0" borderId="0"/>
    <xf numFmtId="43" fontId="8" fillId="0" borderId="0"/>
    <xf numFmtId="43" fontId="8" fillId="0" borderId="0"/>
    <xf numFmtId="0" fontId="8" fillId="0" borderId="0"/>
    <xf numFmtId="43" fontId="8" fillId="0" borderId="0"/>
    <xf numFmtId="0" fontId="8" fillId="0" borderId="0"/>
    <xf numFmtId="43" fontId="8" fillId="0" borderId="0"/>
    <xf numFmtId="0" fontId="8" fillId="0" borderId="0"/>
    <xf numFmtId="0" fontId="8" fillId="0" borderId="0"/>
    <xf numFmtId="43" fontId="8" fillId="0" borderId="0"/>
    <xf numFmtId="43" fontId="8" fillId="0" borderId="0"/>
    <xf numFmtId="0" fontId="8" fillId="0" borderId="0"/>
    <xf numFmtId="43" fontId="8" fillId="0" borderId="0"/>
    <xf numFmtId="0" fontId="8" fillId="0" borderId="0"/>
    <xf numFmtId="0" fontId="8" fillId="0" borderId="0"/>
    <xf numFmtId="43" fontId="8" fillId="0" borderId="0"/>
    <xf numFmtId="43" fontId="8" fillId="0" borderId="0"/>
    <xf numFmtId="0" fontId="8" fillId="0" borderId="0"/>
    <xf numFmtId="0" fontId="1" fillId="0" borderId="0"/>
    <xf numFmtId="43" fontId="1" fillId="0" borderId="0"/>
    <xf numFmtId="43" fontId="8" fillId="0" borderId="0"/>
    <xf numFmtId="0" fontId="11" fillId="0" borderId="0"/>
    <xf numFmtId="0" fontId="8" fillId="0" borderId="0"/>
    <xf numFmtId="9" fontId="8" fillId="0" borderId="0"/>
    <xf numFmtId="43" fontId="4" fillId="0" borderId="0"/>
    <xf numFmtId="9" fontId="1" fillId="0" borderId="0"/>
    <xf numFmtId="9" fontId="8" fillId="0" borderId="0"/>
    <xf numFmtId="0" fontId="50" fillId="0" borderId="0"/>
    <xf numFmtId="43" fontId="50" fillId="0" borderId="0"/>
    <xf numFmtId="9" fontId="50" fillId="0" borderId="0"/>
  </cellStyleXfs>
  <cellXfs count="486">
    <xf numFmtId="0" fontId="0" fillId="0" borderId="0" xfId="0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164" fontId="0" fillId="0" borderId="0" xfId="1" applyNumberFormat="1" applyFont="1"/>
    <xf numFmtId="9" fontId="0" fillId="0" borderId="0" xfId="4" applyFont="1"/>
    <xf numFmtId="164" fontId="0" fillId="0" borderId="0" xfId="0" applyNumberFormat="1"/>
    <xf numFmtId="0" fontId="9" fillId="0" borderId="0" xfId="0" applyFont="1"/>
    <xf numFmtId="0" fontId="9" fillId="0" borderId="0" xfId="0" applyFont="1" applyAlignment="1">
      <alignment vertical="center"/>
    </xf>
    <xf numFmtId="0" fontId="13" fillId="0" borderId="0" xfId="0" applyFont="1"/>
    <xf numFmtId="0" fontId="9" fillId="4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28" applyFont="1" applyAlignment="1">
      <alignment vertical="center"/>
    </xf>
    <xf numFmtId="0" fontId="5" fillId="3" borderId="0" xfId="0" applyFont="1" applyFill="1" applyAlignment="1">
      <alignment vertical="center"/>
    </xf>
    <xf numFmtId="0" fontId="15" fillId="0" borderId="0" xfId="0" applyFont="1" applyAlignment="1">
      <alignment horizontal="left" vertical="center"/>
    </xf>
    <xf numFmtId="164" fontId="16" fillId="0" borderId="0" xfId="3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7" fillId="2" borderId="15" xfId="0" applyFont="1" applyFill="1" applyBorder="1" applyAlignment="1">
      <alignment horizontal="centerContinuous" vertical="center" wrapText="1"/>
    </xf>
    <xf numFmtId="164" fontId="17" fillId="2" borderId="16" xfId="1" applyNumberFormat="1" applyFont="1" applyFill="1" applyBorder="1" applyAlignment="1">
      <alignment horizontal="center" vertical="center" wrapText="1"/>
    </xf>
    <xf numFmtId="0" fontId="17" fillId="8" borderId="22" xfId="0" applyFont="1" applyFill="1" applyBorder="1" applyAlignment="1">
      <alignment horizontal="left" vertical="center"/>
    </xf>
    <xf numFmtId="164" fontId="18" fillId="8" borderId="11" xfId="0" applyNumberFormat="1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left" vertical="center"/>
    </xf>
    <xf numFmtId="0" fontId="18" fillId="8" borderId="15" xfId="0" applyFont="1" applyFill="1" applyBorder="1" applyAlignment="1">
      <alignment horizontal="left" vertical="center"/>
    </xf>
    <xf numFmtId="164" fontId="18" fillId="8" borderId="15" xfId="0" applyNumberFormat="1" applyFont="1" applyFill="1" applyBorder="1" applyAlignment="1">
      <alignment horizontal="center" vertical="center"/>
    </xf>
    <xf numFmtId="0" fontId="16" fillId="8" borderId="19" xfId="0" applyFont="1" applyFill="1" applyBorder="1" applyAlignment="1">
      <alignment horizontal="left" vertical="center"/>
    </xf>
    <xf numFmtId="0" fontId="20" fillId="8" borderId="19" xfId="0" applyFont="1" applyFill="1" applyBorder="1" applyAlignment="1">
      <alignment horizontal="left" vertical="center"/>
    </xf>
    <xf numFmtId="164" fontId="21" fillId="8" borderId="18" xfId="1" applyNumberFormat="1" applyFont="1" applyFill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164" fontId="15" fillId="0" borderId="7" xfId="1" applyNumberFormat="1" applyFont="1" applyBorder="1" applyAlignment="1">
      <alignment horizontal="center" vertical="center" shrinkToFit="1"/>
    </xf>
    <xf numFmtId="164" fontId="21" fillId="4" borderId="7" xfId="1" applyNumberFormat="1" applyFont="1" applyFill="1" applyBorder="1" applyAlignment="1">
      <alignment horizontal="center" vertical="center" wrapText="1"/>
    </xf>
    <xf numFmtId="0" fontId="22" fillId="0" borderId="20" xfId="0" applyFont="1" applyBorder="1" applyAlignment="1">
      <alignment horizontal="left" vertical="center"/>
    </xf>
    <xf numFmtId="164" fontId="24" fillId="0" borderId="9" xfId="1" applyNumberFormat="1" applyFont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4" fillId="0" borderId="0" xfId="0" quotePrefix="1" applyFont="1" applyAlignment="1">
      <alignment horizontal="left" vertical="center"/>
    </xf>
    <xf numFmtId="0" fontId="22" fillId="0" borderId="0" xfId="0" applyFont="1" applyAlignment="1">
      <alignment horizontal="centerContinuous"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horizontal="left" vertical="center" indent="2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vertical="center"/>
    </xf>
    <xf numFmtId="164" fontId="15" fillId="0" borderId="4" xfId="1" applyNumberFormat="1" applyFont="1" applyBorder="1" applyAlignment="1">
      <alignment horizontal="center" vertical="center" shrinkToFit="1"/>
    </xf>
    <xf numFmtId="0" fontId="15" fillId="0" borderId="5" xfId="0" applyFont="1" applyBorder="1" applyAlignment="1">
      <alignment horizontal="center" vertical="center"/>
    </xf>
    <xf numFmtId="164" fontId="15" fillId="0" borderId="5" xfId="1" applyNumberFormat="1" applyFont="1" applyBorder="1" applyAlignment="1">
      <alignment horizontal="center" vertical="center" shrinkToFit="1"/>
    </xf>
    <xf numFmtId="0" fontId="15" fillId="0" borderId="26" xfId="0" applyFont="1" applyBorder="1" applyAlignment="1">
      <alignment vertical="center"/>
    </xf>
    <xf numFmtId="0" fontId="15" fillId="0" borderId="27" xfId="0" applyFont="1" applyBorder="1" applyAlignment="1">
      <alignment vertical="center"/>
    </xf>
    <xf numFmtId="0" fontId="15" fillId="0" borderId="29" xfId="0" applyFont="1" applyBorder="1" applyAlignment="1">
      <alignment vertical="center" wrapText="1"/>
    </xf>
    <xf numFmtId="0" fontId="19" fillId="0" borderId="5" xfId="0" applyFont="1" applyBorder="1" applyAlignment="1">
      <alignment horizontal="center" vertical="center"/>
    </xf>
    <xf numFmtId="0" fontId="15" fillId="0" borderId="28" xfId="0" applyFont="1" applyBorder="1" applyAlignment="1">
      <alignment horizontal="left" vertical="center"/>
    </xf>
    <xf numFmtId="0" fontId="0" fillId="10" borderId="15" xfId="0" applyFill="1" applyBorder="1"/>
    <xf numFmtId="164" fontId="31" fillId="0" borderId="0" xfId="1" applyNumberFormat="1" applyFont="1"/>
    <xf numFmtId="9" fontId="31" fillId="0" borderId="0" xfId="4" applyFont="1"/>
    <xf numFmtId="0" fontId="31" fillId="0" borderId="2" xfId="0" applyFont="1" applyBorder="1" applyAlignment="1">
      <alignment horizontal="center" vertical="center"/>
    </xf>
    <xf numFmtId="164" fontId="31" fillId="0" borderId="2" xfId="1" applyNumberFormat="1" applyFont="1" applyBorder="1" applyAlignment="1">
      <alignment horizontal="center" vertical="center"/>
    </xf>
    <xf numFmtId="164" fontId="31" fillId="0" borderId="0" xfId="0" applyNumberFormat="1" applyFont="1"/>
    <xf numFmtId="43" fontId="31" fillId="0" borderId="0" xfId="0" applyNumberFormat="1" applyFont="1"/>
    <xf numFmtId="43" fontId="32" fillId="0" borderId="0" xfId="0" applyNumberFormat="1" applyFont="1"/>
    <xf numFmtId="164" fontId="33" fillId="5" borderId="2" xfId="3" applyNumberFormat="1" applyFont="1" applyFill="1" applyBorder="1" applyAlignment="1">
      <alignment horizontal="centerContinuous" vertical="center"/>
    </xf>
    <xf numFmtId="164" fontId="33" fillId="5" borderId="2" xfId="3" applyNumberFormat="1" applyFont="1" applyFill="1" applyBorder="1" applyAlignment="1">
      <alignment vertical="center" wrapText="1"/>
    </xf>
    <xf numFmtId="0" fontId="33" fillId="5" borderId="2" xfId="0" applyFont="1" applyFill="1" applyBorder="1" applyAlignment="1">
      <alignment vertical="center"/>
    </xf>
    <xf numFmtId="164" fontId="34" fillId="0" borderId="0" xfId="1" applyNumberFormat="1" applyFont="1"/>
    <xf numFmtId="9" fontId="31" fillId="0" borderId="0" xfId="4" applyFont="1" applyAlignment="1">
      <alignment horizontal="right" vertical="center"/>
    </xf>
    <xf numFmtId="43" fontId="35" fillId="0" borderId="0" xfId="0" applyNumberFormat="1" applyFont="1"/>
    <xf numFmtId="164" fontId="33" fillId="5" borderId="2" xfId="3" applyNumberFormat="1" applyFont="1" applyFill="1" applyBorder="1" applyAlignment="1">
      <alignment horizontal="center" vertical="center" wrapText="1"/>
    </xf>
    <xf numFmtId="0" fontId="33" fillId="5" borderId="2" xfId="0" applyFont="1" applyFill="1" applyBorder="1" applyAlignment="1">
      <alignment horizontal="center" vertical="center" wrapText="1"/>
    </xf>
    <xf numFmtId="9" fontId="36" fillId="5" borderId="2" xfId="4" applyFont="1" applyFill="1" applyBorder="1" applyAlignment="1">
      <alignment horizontal="center" vertical="center" wrapText="1"/>
    </xf>
    <xf numFmtId="0" fontId="33" fillId="5" borderId="2" xfId="0" applyFont="1" applyFill="1" applyBorder="1" applyAlignment="1">
      <alignment horizontal="center" vertical="center"/>
    </xf>
    <xf numFmtId="164" fontId="33" fillId="5" borderId="3" xfId="1" applyNumberFormat="1" applyFont="1" applyFill="1" applyBorder="1" applyAlignment="1">
      <alignment horizontal="center" vertical="center"/>
    </xf>
    <xf numFmtId="164" fontId="33" fillId="9" borderId="2" xfId="1" applyNumberFormat="1" applyFont="1" applyFill="1" applyBorder="1" applyAlignment="1">
      <alignment horizontal="center"/>
    </xf>
    <xf numFmtId="0" fontId="33" fillId="3" borderId="2" xfId="0" applyFont="1" applyFill="1" applyBorder="1" applyAlignment="1">
      <alignment horizontal="center" vertical="center"/>
    </xf>
    <xf numFmtId="0" fontId="33" fillId="3" borderId="7" xfId="0" applyFont="1" applyFill="1" applyBorder="1" applyAlignment="1">
      <alignment horizontal="left" vertical="center"/>
    </xf>
    <xf numFmtId="0" fontId="33" fillId="3" borderId="7" xfId="0" applyFont="1" applyFill="1" applyBorder="1" applyAlignment="1">
      <alignment horizontal="center" vertical="center"/>
    </xf>
    <xf numFmtId="164" fontId="33" fillId="3" borderId="7" xfId="3" applyNumberFormat="1" applyFont="1" applyFill="1" applyBorder="1" applyAlignment="1">
      <alignment horizontal="center" vertical="center"/>
    </xf>
    <xf numFmtId="9" fontId="33" fillId="3" borderId="7" xfId="4" applyFont="1" applyFill="1" applyBorder="1" applyAlignment="1">
      <alignment horizontal="right" vertical="center"/>
    </xf>
    <xf numFmtId="0" fontId="31" fillId="3" borderId="7" xfId="0" applyFont="1" applyFill="1" applyBorder="1" applyAlignment="1">
      <alignment horizontal="center" vertical="center"/>
    </xf>
    <xf numFmtId="164" fontId="33" fillId="5" borderId="10" xfId="1" applyNumberFormat="1" applyFont="1" applyFill="1" applyBorder="1" applyAlignment="1">
      <alignment horizontal="center" vertical="center"/>
    </xf>
    <xf numFmtId="164" fontId="33" fillId="9" borderId="8" xfId="1" applyNumberFormat="1" applyFont="1" applyFill="1" applyBorder="1" applyAlignment="1">
      <alignment horizontal="center"/>
    </xf>
    <xf numFmtId="0" fontId="36" fillId="0" borderId="21" xfId="0" applyFont="1" applyBorder="1" applyAlignment="1">
      <alignment horizontal="center" vertical="center"/>
    </xf>
    <xf numFmtId="0" fontId="36" fillId="4" borderId="21" xfId="0" applyFont="1" applyFill="1" applyBorder="1" applyAlignment="1">
      <alignment horizontal="left" vertical="center" wrapText="1"/>
    </xf>
    <xf numFmtId="0" fontId="36" fillId="4" borderId="21" xfId="0" applyFont="1" applyFill="1" applyBorder="1" applyAlignment="1">
      <alignment horizontal="center" vertical="center"/>
    </xf>
    <xf numFmtId="164" fontId="36" fillId="4" borderId="21" xfId="1" applyNumberFormat="1" applyFont="1" applyFill="1" applyBorder="1" applyAlignment="1">
      <alignment horizontal="center" vertical="center" shrinkToFit="1"/>
    </xf>
    <xf numFmtId="41" fontId="37" fillId="0" borderId="21" xfId="0" applyNumberFormat="1" applyFont="1" applyBorder="1" applyAlignment="1">
      <alignment horizontal="center" vertical="center" shrinkToFit="1"/>
    </xf>
    <xf numFmtId="0" fontId="36" fillId="0" borderId="21" xfId="0" applyFont="1" applyBorder="1" applyAlignment="1">
      <alignment vertical="center"/>
    </xf>
    <xf numFmtId="9" fontId="36" fillId="0" borderId="21" xfId="0" applyNumberFormat="1" applyFont="1" applyBorder="1" applyAlignment="1">
      <alignment vertical="center"/>
    </xf>
    <xf numFmtId="164" fontId="37" fillId="4" borderId="4" xfId="1" applyNumberFormat="1" applyFont="1" applyFill="1" applyBorder="1" applyAlignment="1">
      <alignment vertical="center"/>
    </xf>
    <xf numFmtId="164" fontId="36" fillId="0" borderId="21" xfId="1" applyNumberFormat="1" applyFont="1" applyBorder="1" applyAlignment="1">
      <alignment vertical="center"/>
    </xf>
    <xf numFmtId="43" fontId="36" fillId="0" borderId="21" xfId="0" applyNumberFormat="1" applyFont="1" applyBorder="1" applyAlignment="1">
      <alignment horizontal="center" vertical="center" shrinkToFit="1"/>
    </xf>
    <xf numFmtId="164" fontId="36" fillId="0" borderId="0" xfId="1" applyNumberFormat="1" applyFont="1" applyAlignment="1">
      <alignment vertical="center"/>
    </xf>
    <xf numFmtId="164" fontId="36" fillId="0" borderId="13" xfId="4" applyNumberFormat="1" applyFont="1" applyBorder="1" applyAlignment="1">
      <alignment vertical="center"/>
    </xf>
    <xf numFmtId="164" fontId="36" fillId="0" borderId="13" xfId="0" applyNumberFormat="1" applyFont="1" applyBorder="1" applyAlignment="1">
      <alignment vertical="center"/>
    </xf>
    <xf numFmtId="164" fontId="36" fillId="0" borderId="13" xfId="1" applyNumberFormat="1" applyFont="1" applyBorder="1" applyAlignment="1">
      <alignment vertical="center"/>
    </xf>
    <xf numFmtId="164" fontId="36" fillId="6" borderId="13" xfId="0" applyNumberFormat="1" applyFont="1" applyFill="1" applyBorder="1" applyAlignment="1">
      <alignment vertical="center"/>
    </xf>
    <xf numFmtId="9" fontId="36" fillId="6" borderId="13" xfId="4" applyFont="1" applyFill="1" applyBorder="1" applyAlignment="1">
      <alignment vertical="center"/>
    </xf>
    <xf numFmtId="164" fontId="36" fillId="3" borderId="13" xfId="1" applyNumberFormat="1" applyFont="1" applyFill="1" applyBorder="1" applyAlignment="1">
      <alignment vertical="center"/>
    </xf>
    <xf numFmtId="9" fontId="36" fillId="3" borderId="13" xfId="4" applyFont="1" applyFill="1" applyBorder="1" applyAlignment="1">
      <alignment vertical="center"/>
    </xf>
    <xf numFmtId="43" fontId="36" fillId="0" borderId="13" xfId="0" applyNumberFormat="1" applyFont="1" applyBorder="1" applyAlignment="1">
      <alignment vertical="center"/>
    </xf>
    <xf numFmtId="0" fontId="36" fillId="0" borderId="13" xfId="0" applyFont="1" applyBorder="1" applyAlignment="1">
      <alignment vertical="center"/>
    </xf>
    <xf numFmtId="0" fontId="36" fillId="0" borderId="4" xfId="0" applyFont="1" applyBorder="1" applyAlignment="1">
      <alignment horizontal="center" vertical="center"/>
    </xf>
    <xf numFmtId="0" fontId="37" fillId="4" borderId="4" xfId="0" applyFont="1" applyFill="1" applyBorder="1" applyAlignment="1">
      <alignment horizontal="left" vertical="center" wrapText="1"/>
    </xf>
    <xf numFmtId="0" fontId="36" fillId="4" borderId="4" xfId="0" applyFont="1" applyFill="1" applyBorder="1" applyAlignment="1">
      <alignment horizontal="center" vertical="center"/>
    </xf>
    <xf numFmtId="164" fontId="36" fillId="4" borderId="4" xfId="1" applyNumberFormat="1" applyFont="1" applyFill="1" applyBorder="1" applyAlignment="1">
      <alignment horizontal="center" vertical="center" shrinkToFit="1"/>
    </xf>
    <xf numFmtId="41" fontId="37" fillId="0" borderId="4" xfId="0" applyNumberFormat="1" applyFont="1" applyBorder="1" applyAlignment="1">
      <alignment horizontal="center" vertical="center" shrinkToFit="1"/>
    </xf>
    <xf numFmtId="0" fontId="36" fillId="0" borderId="4" xfId="0" applyFont="1" applyBorder="1" applyAlignment="1">
      <alignment vertical="center"/>
    </xf>
    <xf numFmtId="9" fontId="36" fillId="0" borderId="4" xfId="0" applyNumberFormat="1" applyFont="1" applyBorder="1" applyAlignment="1">
      <alignment vertical="center"/>
    </xf>
    <xf numFmtId="164" fontId="36" fillId="0" borderId="4" xfId="1" applyNumberFormat="1" applyFont="1" applyBorder="1" applyAlignment="1">
      <alignment vertical="center"/>
    </xf>
    <xf numFmtId="43" fontId="36" fillId="0" borderId="4" xfId="0" applyNumberFormat="1" applyFont="1" applyBorder="1" applyAlignment="1">
      <alignment horizontal="center" vertical="center" shrinkToFit="1"/>
    </xf>
    <xf numFmtId="9" fontId="37" fillId="4" borderId="0" xfId="4" applyFont="1" applyFill="1" applyAlignment="1">
      <alignment vertical="center"/>
    </xf>
    <xf numFmtId="164" fontId="37" fillId="4" borderId="0" xfId="1" applyNumberFormat="1" applyFont="1" applyFill="1" applyAlignment="1">
      <alignment vertical="center"/>
    </xf>
    <xf numFmtId="0" fontId="36" fillId="4" borderId="4" xfId="0" applyFont="1" applyFill="1" applyBorder="1" applyAlignment="1">
      <alignment horizontal="left" vertical="center" wrapText="1"/>
    </xf>
    <xf numFmtId="43" fontId="36" fillId="4" borderId="4" xfId="0" applyNumberFormat="1" applyFont="1" applyFill="1" applyBorder="1" applyAlignment="1">
      <alignment horizontal="center" vertical="center" shrinkToFit="1"/>
    </xf>
    <xf numFmtId="164" fontId="36" fillId="4" borderId="0" xfId="1" applyNumberFormat="1" applyFont="1" applyFill="1" applyAlignment="1">
      <alignment vertical="center"/>
    </xf>
    <xf numFmtId="164" fontId="38" fillId="7" borderId="12" xfId="1" applyNumberFormat="1" applyFont="1" applyFill="1" applyBorder="1" applyAlignment="1">
      <alignment horizontal="center" vertical="center" wrapText="1"/>
    </xf>
    <xf numFmtId="0" fontId="37" fillId="4" borderId="4" xfId="0" applyFont="1" applyFill="1" applyBorder="1" applyAlignment="1">
      <alignment vertical="center" wrapText="1"/>
    </xf>
    <xf numFmtId="0" fontId="36" fillId="4" borderId="4" xfId="0" applyFont="1" applyFill="1" applyBorder="1" applyAlignment="1">
      <alignment vertical="center"/>
    </xf>
    <xf numFmtId="0" fontId="36" fillId="4" borderId="0" xfId="0" applyFont="1" applyFill="1" applyAlignment="1">
      <alignment vertical="center"/>
    </xf>
    <xf numFmtId="0" fontId="36" fillId="4" borderId="13" xfId="0" applyFont="1" applyFill="1" applyBorder="1" applyAlignment="1">
      <alignment vertical="center"/>
    </xf>
    <xf numFmtId="0" fontId="36" fillId="0" borderId="4" xfId="0" applyFont="1" applyBorder="1" applyAlignment="1">
      <alignment horizontal="left" vertical="center" wrapText="1"/>
    </xf>
    <xf numFmtId="164" fontId="36" fillId="0" borderId="4" xfId="1" applyNumberFormat="1" applyFont="1" applyBorder="1" applyAlignment="1">
      <alignment horizontal="center" vertical="center" shrinkToFit="1"/>
    </xf>
    <xf numFmtId="9" fontId="36" fillId="0" borderId="23" xfId="0" applyNumberFormat="1" applyFont="1" applyBorder="1" applyAlignment="1">
      <alignment vertical="center"/>
    </xf>
    <xf numFmtId="164" fontId="33" fillId="0" borderId="13" xfId="4" applyNumberFormat="1" applyFont="1" applyBorder="1" applyAlignment="1">
      <alignment vertical="center"/>
    </xf>
    <xf numFmtId="164" fontId="33" fillId="0" borderId="13" xfId="0" applyNumberFormat="1" applyFont="1" applyBorder="1" applyAlignment="1">
      <alignment vertical="center"/>
    </xf>
    <xf numFmtId="0" fontId="36" fillId="0" borderId="23" xfId="0" applyFont="1" applyBorder="1" applyAlignment="1">
      <alignment horizontal="center" vertical="center"/>
    </xf>
    <xf numFmtId="0" fontId="36" fillId="0" borderId="23" xfId="0" applyFont="1" applyBorder="1" applyAlignment="1">
      <alignment horizontal="left" vertical="center" wrapText="1"/>
    </xf>
    <xf numFmtId="0" fontId="37" fillId="4" borderId="23" xfId="0" applyFont="1" applyFill="1" applyBorder="1" applyAlignment="1">
      <alignment horizontal="center" vertical="center"/>
    </xf>
    <xf numFmtId="164" fontId="36" fillId="4" borderId="23" xfId="1" applyNumberFormat="1" applyFont="1" applyFill="1" applyBorder="1" applyAlignment="1">
      <alignment horizontal="center" vertical="center" shrinkToFit="1"/>
    </xf>
    <xf numFmtId="41" fontId="37" fillId="0" borderId="23" xfId="0" applyNumberFormat="1" applyFont="1" applyBorder="1" applyAlignment="1">
      <alignment horizontal="center" vertical="center" shrinkToFit="1"/>
    </xf>
    <xf numFmtId="0" fontId="36" fillId="0" borderId="23" xfId="0" applyFont="1" applyBorder="1" applyAlignment="1">
      <alignment vertical="center"/>
    </xf>
    <xf numFmtId="164" fontId="36" fillId="0" borderId="23" xfId="1" applyNumberFormat="1" applyFont="1" applyBorder="1" applyAlignment="1">
      <alignment vertical="center"/>
    </xf>
    <xf numFmtId="43" fontId="36" fillId="4" borderId="23" xfId="0" applyNumberFormat="1" applyFont="1" applyFill="1" applyBorder="1" applyAlignment="1">
      <alignment horizontal="center" vertical="center" shrinkToFit="1"/>
    </xf>
    <xf numFmtId="43" fontId="36" fillId="0" borderId="0" xfId="0" applyNumberFormat="1" applyFont="1" applyAlignment="1">
      <alignment vertical="center"/>
    </xf>
    <xf numFmtId="0" fontId="33" fillId="0" borderId="13" xfId="0" applyFont="1" applyBorder="1" applyAlignment="1">
      <alignment vertical="center"/>
    </xf>
    <xf numFmtId="0" fontId="33" fillId="3" borderId="17" xfId="0" applyFont="1" applyFill="1" applyBorder="1" applyAlignment="1">
      <alignment horizontal="center" vertical="center"/>
    </xf>
    <xf numFmtId="0" fontId="33" fillId="3" borderId="19" xfId="0" applyFont="1" applyFill="1" applyBorder="1" applyAlignment="1">
      <alignment horizontal="left" vertical="center"/>
    </xf>
    <xf numFmtId="0" fontId="33" fillId="3" borderId="19" xfId="0" applyFont="1" applyFill="1" applyBorder="1" applyAlignment="1">
      <alignment horizontal="center" vertical="center"/>
    </xf>
    <xf numFmtId="164" fontId="33" fillId="3" borderId="15" xfId="3" applyNumberFormat="1" applyFont="1" applyFill="1" applyBorder="1" applyAlignment="1">
      <alignment horizontal="center" vertical="center"/>
    </xf>
    <xf numFmtId="9" fontId="33" fillId="3" borderId="19" xfId="4" applyFont="1" applyFill="1" applyBorder="1" applyAlignment="1">
      <alignment horizontal="right" vertical="center"/>
    </xf>
    <xf numFmtId="164" fontId="33" fillId="3" borderId="19" xfId="3" applyNumberFormat="1" applyFont="1" applyFill="1" applyBorder="1" applyAlignment="1">
      <alignment horizontal="center" vertical="center"/>
    </xf>
    <xf numFmtId="0" fontId="31" fillId="3" borderId="18" xfId="0" applyFont="1" applyFill="1" applyBorder="1" applyAlignment="1">
      <alignment horizontal="center" vertical="center"/>
    </xf>
    <xf numFmtId="0" fontId="36" fillId="0" borderId="6" xfId="0" applyFont="1" applyBorder="1" applyAlignment="1">
      <alignment horizontal="center" vertical="center"/>
    </xf>
    <xf numFmtId="0" fontId="36" fillId="4" borderId="6" xfId="0" applyFont="1" applyFill="1" applyBorder="1" applyAlignment="1">
      <alignment horizontal="left" vertical="center" wrapText="1"/>
    </xf>
    <xf numFmtId="164" fontId="36" fillId="4" borderId="6" xfId="1" applyNumberFormat="1" applyFont="1" applyFill="1" applyBorder="1" applyAlignment="1">
      <alignment horizontal="center" vertical="center" shrinkToFit="1"/>
    </xf>
    <xf numFmtId="41" fontId="37" fillId="0" borderId="6" xfId="0" applyNumberFormat="1" applyFont="1" applyBorder="1" applyAlignment="1">
      <alignment horizontal="center" vertical="center" shrinkToFit="1"/>
    </xf>
    <xf numFmtId="0" fontId="36" fillId="0" borderId="6" xfId="0" applyFont="1" applyBorder="1" applyAlignment="1">
      <alignment vertical="center"/>
    </xf>
    <xf numFmtId="9" fontId="36" fillId="0" borderId="6" xfId="0" applyNumberFormat="1" applyFont="1" applyBorder="1" applyAlignment="1">
      <alignment vertical="center"/>
    </xf>
    <xf numFmtId="164" fontId="37" fillId="4" borderId="6" xfId="1" applyNumberFormat="1" applyFont="1" applyFill="1" applyBorder="1" applyAlignment="1">
      <alignment vertical="center"/>
    </xf>
    <xf numFmtId="164" fontId="36" fillId="0" borderId="6" xfId="1" applyNumberFormat="1" applyFont="1" applyBorder="1" applyAlignment="1">
      <alignment vertical="center"/>
    </xf>
    <xf numFmtId="43" fontId="36" fillId="0" borderId="6" xfId="0" applyNumberFormat="1" applyFont="1" applyBorder="1" applyAlignment="1">
      <alignment horizontal="center" vertical="center" shrinkToFit="1"/>
    </xf>
    <xf numFmtId="164" fontId="39" fillId="4" borderId="0" xfId="1" applyNumberFormat="1" applyFont="1" applyFill="1" applyAlignment="1">
      <alignment vertical="center"/>
    </xf>
    <xf numFmtId="0" fontId="36" fillId="4" borderId="23" xfId="0" applyFont="1" applyFill="1" applyBorder="1" applyAlignment="1">
      <alignment horizontal="left" vertical="center" wrapText="1"/>
    </xf>
    <xf numFmtId="0" fontId="36" fillId="4" borderId="23" xfId="0" applyFont="1" applyFill="1" applyBorder="1" applyAlignment="1">
      <alignment horizontal="center" vertical="center"/>
    </xf>
    <xf numFmtId="164" fontId="37" fillId="4" borderId="23" xfId="1" applyNumberFormat="1" applyFont="1" applyFill="1" applyBorder="1" applyAlignment="1">
      <alignment vertical="center"/>
    </xf>
    <xf numFmtId="43" fontId="36" fillId="0" borderId="23" xfId="0" applyNumberFormat="1" applyFont="1" applyBorder="1" applyAlignment="1">
      <alignment horizontal="center" vertical="center" shrinkToFit="1"/>
    </xf>
    <xf numFmtId="164" fontId="39" fillId="0" borderId="0" xfId="2" applyNumberFormat="1" applyFont="1" applyAlignment="1">
      <alignment vertical="center"/>
    </xf>
    <xf numFmtId="0" fontId="40" fillId="3" borderId="17" xfId="28" applyFont="1" applyFill="1" applyBorder="1" applyAlignment="1">
      <alignment vertical="center"/>
    </xf>
    <xf numFmtId="0" fontId="33" fillId="3" borderId="19" xfId="28" applyFont="1" applyFill="1" applyBorder="1" applyAlignment="1">
      <alignment horizontal="left" vertical="center" wrapText="1"/>
    </xf>
    <xf numFmtId="0" fontId="36" fillId="3" borderId="19" xfId="28" applyFont="1" applyFill="1" applyBorder="1" applyAlignment="1">
      <alignment horizontal="center" vertical="center"/>
    </xf>
    <xf numFmtId="164" fontId="36" fillId="3" borderId="19" xfId="3" applyNumberFormat="1" applyFont="1" applyFill="1" applyBorder="1" applyAlignment="1">
      <alignment horizontal="center" vertical="center" shrinkToFit="1"/>
    </xf>
    <xf numFmtId="41" fontId="37" fillId="3" borderId="19" xfId="28" applyNumberFormat="1" applyFont="1" applyFill="1" applyBorder="1" applyAlignment="1">
      <alignment horizontal="center" vertical="center" shrinkToFit="1"/>
    </xf>
    <xf numFmtId="0" fontId="36" fillId="3" borderId="19" xfId="28" applyFont="1" applyFill="1" applyBorder="1" applyAlignment="1">
      <alignment vertical="center"/>
    </xf>
    <xf numFmtId="9" fontId="33" fillId="3" borderId="19" xfId="35" applyFont="1" applyFill="1" applyBorder="1" applyAlignment="1">
      <alignment horizontal="right" vertical="center"/>
    </xf>
    <xf numFmtId="164" fontId="36" fillId="3" borderId="19" xfId="3" applyNumberFormat="1" applyFont="1" applyFill="1" applyBorder="1" applyAlignment="1">
      <alignment vertical="center"/>
    </xf>
    <xf numFmtId="43" fontId="36" fillId="3" borderId="18" xfId="28" applyNumberFormat="1" applyFont="1" applyFill="1" applyBorder="1" applyAlignment="1">
      <alignment horizontal="center" vertical="center" shrinkToFit="1"/>
    </xf>
    <xf numFmtId="164" fontId="36" fillId="0" borderId="18" xfId="3" applyNumberFormat="1" applyFont="1" applyBorder="1" applyAlignment="1">
      <alignment vertical="center"/>
    </xf>
    <xf numFmtId="9" fontId="36" fillId="0" borderId="0" xfId="35" applyFont="1" applyAlignment="1">
      <alignment vertical="center"/>
    </xf>
    <xf numFmtId="164" fontId="36" fillId="0" borderId="0" xfId="3" applyNumberFormat="1" applyFont="1" applyAlignment="1">
      <alignment vertical="center"/>
    </xf>
    <xf numFmtId="0" fontId="36" fillId="0" borderId="0" xfId="28" applyFont="1" applyAlignment="1">
      <alignment vertical="center"/>
    </xf>
    <xf numFmtId="164" fontId="36" fillId="0" borderId="13" xfId="35" applyNumberFormat="1" applyFont="1" applyBorder="1" applyAlignment="1">
      <alignment vertical="center"/>
    </xf>
    <xf numFmtId="164" fontId="36" fillId="0" borderId="13" xfId="28" applyNumberFormat="1" applyFont="1" applyBorder="1" applyAlignment="1">
      <alignment vertical="center"/>
    </xf>
    <xf numFmtId="164" fontId="36" fillId="0" borderId="13" xfId="3" applyNumberFormat="1" applyFont="1" applyBorder="1" applyAlignment="1">
      <alignment vertical="center"/>
    </xf>
    <xf numFmtId="164" fontId="36" fillId="6" borderId="13" xfId="28" applyNumberFormat="1" applyFont="1" applyFill="1" applyBorder="1" applyAlignment="1">
      <alignment vertical="center"/>
    </xf>
    <xf numFmtId="9" fontId="36" fillId="6" borderId="13" xfId="35" applyFont="1" applyFill="1" applyBorder="1" applyAlignment="1">
      <alignment vertical="center"/>
    </xf>
    <xf numFmtId="164" fontId="36" fillId="3" borderId="13" xfId="3" applyNumberFormat="1" applyFont="1" applyFill="1" applyBorder="1" applyAlignment="1">
      <alignment vertical="center"/>
    </xf>
    <xf numFmtId="9" fontId="36" fillId="3" borderId="13" xfId="35" applyFont="1" applyFill="1" applyBorder="1" applyAlignment="1">
      <alignment vertical="center"/>
    </xf>
    <xf numFmtId="0" fontId="36" fillId="0" borderId="13" xfId="28" applyFont="1" applyBorder="1" applyAlignment="1">
      <alignment vertical="center"/>
    </xf>
    <xf numFmtId="0" fontId="37" fillId="4" borderId="6" xfId="0" applyFont="1" applyFill="1" applyBorder="1" applyAlignment="1">
      <alignment horizontal="center" vertical="center"/>
    </xf>
    <xf numFmtId="41" fontId="37" fillId="4" borderId="6" xfId="0" applyNumberFormat="1" applyFont="1" applyFill="1" applyBorder="1" applyAlignment="1">
      <alignment horizontal="center" vertical="center" shrinkToFit="1"/>
    </xf>
    <xf numFmtId="0" fontId="37" fillId="4" borderId="6" xfId="0" applyFont="1" applyFill="1" applyBorder="1" applyAlignment="1">
      <alignment vertical="center"/>
    </xf>
    <xf numFmtId="9" fontId="36" fillId="4" borderId="6" xfId="0" applyNumberFormat="1" applyFont="1" applyFill="1" applyBorder="1" applyAlignment="1">
      <alignment vertical="center"/>
    </xf>
    <xf numFmtId="164" fontId="36" fillId="4" borderId="6" xfId="1" applyNumberFormat="1" applyFont="1" applyFill="1" applyBorder="1" applyAlignment="1">
      <alignment vertical="center"/>
    </xf>
    <xf numFmtId="0" fontId="37" fillId="4" borderId="6" xfId="0" applyFont="1" applyFill="1" applyBorder="1" applyAlignment="1">
      <alignment horizontal="center" vertical="center" shrinkToFit="1"/>
    </xf>
    <xf numFmtId="164" fontId="36" fillId="0" borderId="23" xfId="1" applyNumberFormat="1" applyFont="1" applyBorder="1" applyAlignment="1">
      <alignment horizontal="center" vertical="center" shrinkToFit="1"/>
    </xf>
    <xf numFmtId="0" fontId="40" fillId="3" borderId="17" xfId="0" applyFont="1" applyFill="1" applyBorder="1" applyAlignment="1">
      <alignment vertical="center"/>
    </xf>
    <xf numFmtId="0" fontId="33" fillId="3" borderId="19" xfId="0" applyFont="1" applyFill="1" applyBorder="1" applyAlignment="1">
      <alignment vertical="center"/>
    </xf>
    <xf numFmtId="41" fontId="37" fillId="3" borderId="18" xfId="0" applyNumberFormat="1" applyFont="1" applyFill="1" applyBorder="1" applyAlignment="1">
      <alignment horizontal="center" vertical="center" shrinkToFit="1"/>
    </xf>
    <xf numFmtId="41" fontId="40" fillId="3" borderId="15" xfId="0" applyNumberFormat="1" applyFont="1" applyFill="1" applyBorder="1" applyAlignment="1">
      <alignment horizontal="center" vertical="center" shrinkToFit="1"/>
    </xf>
    <xf numFmtId="0" fontId="33" fillId="3" borderId="15" xfId="0" applyFont="1" applyFill="1" applyBorder="1" applyAlignment="1">
      <alignment vertical="center"/>
    </xf>
    <xf numFmtId="9" fontId="33" fillId="3" borderId="15" xfId="35" applyFont="1" applyFill="1" applyBorder="1" applyAlignment="1">
      <alignment horizontal="right" vertical="center"/>
    </xf>
    <xf numFmtId="164" fontId="33" fillId="3" borderId="15" xfId="1" applyNumberFormat="1" applyFont="1" applyFill="1" applyBorder="1" applyAlignment="1">
      <alignment vertical="center"/>
    </xf>
    <xf numFmtId="0" fontId="41" fillId="3" borderId="15" xfId="0" applyFont="1" applyFill="1" applyBorder="1" applyAlignment="1">
      <alignment horizontal="center" vertical="center" shrinkToFit="1"/>
    </xf>
    <xf numFmtId="0" fontId="37" fillId="4" borderId="21" xfId="0" applyFont="1" applyFill="1" applyBorder="1" applyAlignment="1">
      <alignment horizontal="center" vertical="center"/>
    </xf>
    <xf numFmtId="0" fontId="37" fillId="4" borderId="21" xfId="0" applyFont="1" applyFill="1" applyBorder="1" applyAlignment="1">
      <alignment horizontal="left" vertical="center" wrapText="1"/>
    </xf>
    <xf numFmtId="41" fontId="37" fillId="4" borderId="21" xfId="0" applyNumberFormat="1" applyFont="1" applyFill="1" applyBorder="1" applyAlignment="1">
      <alignment horizontal="center" vertical="center" shrinkToFit="1"/>
    </xf>
    <xf numFmtId="0" fontId="36" fillId="4" borderId="21" xfId="0" applyFont="1" applyFill="1" applyBorder="1" applyAlignment="1">
      <alignment vertical="center"/>
    </xf>
    <xf numFmtId="9" fontId="36" fillId="4" borderId="21" xfId="0" applyNumberFormat="1" applyFont="1" applyFill="1" applyBorder="1" applyAlignment="1">
      <alignment vertical="center"/>
    </xf>
    <xf numFmtId="164" fontId="37" fillId="4" borderId="21" xfId="1" applyNumberFormat="1" applyFont="1" applyFill="1" applyBorder="1" applyAlignment="1">
      <alignment vertical="center"/>
    </xf>
    <xf numFmtId="164" fontId="36" fillId="4" borderId="21" xfId="1" applyNumberFormat="1" applyFont="1" applyFill="1" applyBorder="1" applyAlignment="1">
      <alignment vertical="center"/>
    </xf>
    <xf numFmtId="0" fontId="37" fillId="4" borderId="21" xfId="0" applyFont="1" applyFill="1" applyBorder="1" applyAlignment="1">
      <alignment horizontal="center" vertical="center" wrapText="1" shrinkToFit="1"/>
    </xf>
    <xf numFmtId="0" fontId="37" fillId="4" borderId="4" xfId="0" applyFont="1" applyFill="1" applyBorder="1" applyAlignment="1">
      <alignment horizontal="center" vertical="center"/>
    </xf>
    <xf numFmtId="41" fontId="37" fillId="4" borderId="4" xfId="0" applyNumberFormat="1" applyFont="1" applyFill="1" applyBorder="1" applyAlignment="1">
      <alignment horizontal="center" vertical="center" shrinkToFit="1"/>
    </xf>
    <xf numFmtId="164" fontId="36" fillId="4" borderId="4" xfId="1" applyNumberFormat="1" applyFont="1" applyFill="1" applyBorder="1" applyAlignment="1">
      <alignment vertical="center"/>
    </xf>
    <xf numFmtId="0" fontId="37" fillId="4" borderId="4" xfId="0" applyFont="1" applyFill="1" applyBorder="1" applyAlignment="1">
      <alignment horizontal="center" vertical="center" wrapText="1" shrinkToFit="1"/>
    </xf>
    <xf numFmtId="0" fontId="37" fillId="4" borderId="5" xfId="0" applyFont="1" applyFill="1" applyBorder="1" applyAlignment="1">
      <alignment horizontal="center" vertical="center"/>
    </xf>
    <xf numFmtId="0" fontId="37" fillId="4" borderId="5" xfId="0" applyFont="1" applyFill="1" applyBorder="1" applyAlignment="1">
      <alignment horizontal="left" vertical="center" wrapText="1"/>
    </xf>
    <xf numFmtId="0" fontId="36" fillId="4" borderId="5" xfId="0" applyFont="1" applyFill="1" applyBorder="1" applyAlignment="1">
      <alignment horizontal="center" vertical="center"/>
    </xf>
    <xf numFmtId="164" fontId="36" fillId="4" borderId="5" xfId="1" applyNumberFormat="1" applyFont="1" applyFill="1" applyBorder="1" applyAlignment="1">
      <alignment horizontal="center" vertical="center" shrinkToFit="1"/>
    </xf>
    <xf numFmtId="41" fontId="37" fillId="4" borderId="5" xfId="0" applyNumberFormat="1" applyFont="1" applyFill="1" applyBorder="1" applyAlignment="1">
      <alignment horizontal="center" vertical="center" shrinkToFit="1"/>
    </xf>
    <xf numFmtId="0" fontId="36" fillId="4" borderId="5" xfId="0" applyFont="1" applyFill="1" applyBorder="1" applyAlignment="1">
      <alignment vertical="center"/>
    </xf>
    <xf numFmtId="164" fontId="37" fillId="4" borderId="5" xfId="1" applyNumberFormat="1" applyFont="1" applyFill="1" applyBorder="1" applyAlignment="1">
      <alignment vertical="center"/>
    </xf>
    <xf numFmtId="164" fontId="36" fillId="4" borderId="5" xfId="1" applyNumberFormat="1" applyFont="1" applyFill="1" applyBorder="1" applyAlignment="1">
      <alignment vertical="center"/>
    </xf>
    <xf numFmtId="0" fontId="37" fillId="4" borderId="5" xfId="0" applyFont="1" applyFill="1" applyBorder="1" applyAlignment="1">
      <alignment horizontal="center" vertical="center" wrapText="1" shrinkToFit="1"/>
    </xf>
    <xf numFmtId="0" fontId="33" fillId="3" borderId="15" xfId="0" applyFont="1" applyFill="1" applyBorder="1" applyAlignment="1">
      <alignment horizontal="left" vertical="center"/>
    </xf>
    <xf numFmtId="0" fontId="33" fillId="3" borderId="15" xfId="0" applyFont="1" applyFill="1" applyBorder="1" applyAlignment="1">
      <alignment horizontal="center" vertical="center"/>
    </xf>
    <xf numFmtId="9" fontId="33" fillId="3" borderId="15" xfId="4" applyFont="1" applyFill="1" applyBorder="1" applyAlignment="1">
      <alignment horizontal="right" vertical="center"/>
    </xf>
    <xf numFmtId="0" fontId="31" fillId="3" borderId="15" xfId="0" applyFont="1" applyFill="1" applyBorder="1" applyAlignment="1">
      <alignment horizontal="center" vertical="center"/>
    </xf>
    <xf numFmtId="164" fontId="39" fillId="3" borderId="0" xfId="2" applyNumberFormat="1" applyFont="1" applyFill="1" applyAlignment="1">
      <alignment vertical="center"/>
    </xf>
    <xf numFmtId="9" fontId="36" fillId="3" borderId="0" xfId="35" applyFont="1" applyFill="1" applyAlignment="1">
      <alignment vertical="center"/>
    </xf>
    <xf numFmtId="164" fontId="36" fillId="3" borderId="0" xfId="1" applyNumberFormat="1" applyFont="1" applyFill="1" applyAlignment="1">
      <alignment vertical="center"/>
    </xf>
    <xf numFmtId="0" fontId="36" fillId="3" borderId="0" xfId="0" applyFont="1" applyFill="1" applyAlignment="1">
      <alignment vertical="center"/>
    </xf>
    <xf numFmtId="0" fontId="37" fillId="4" borderId="4" xfId="0" applyFont="1" applyFill="1" applyBorder="1" applyAlignment="1">
      <alignment vertical="center"/>
    </xf>
    <xf numFmtId="9" fontId="36" fillId="4" borderId="4" xfId="0" applyNumberFormat="1" applyFont="1" applyFill="1" applyBorder="1" applyAlignment="1">
      <alignment vertical="center"/>
    </xf>
    <xf numFmtId="0" fontId="37" fillId="4" borderId="4" xfId="0" applyFont="1" applyFill="1" applyBorder="1" applyAlignment="1">
      <alignment horizontal="center" vertical="center" shrinkToFit="1"/>
    </xf>
    <xf numFmtId="0" fontId="36" fillId="0" borderId="5" xfId="0" applyFont="1" applyBorder="1" applyAlignment="1">
      <alignment horizontal="center" vertical="center"/>
    </xf>
    <xf numFmtId="0" fontId="36" fillId="4" borderId="5" xfId="0" applyFont="1" applyFill="1" applyBorder="1" applyAlignment="1">
      <alignment horizontal="left" vertical="center" wrapText="1"/>
    </xf>
    <xf numFmtId="0" fontId="37" fillId="4" borderId="5" xfId="0" applyFont="1" applyFill="1" applyBorder="1" applyAlignment="1">
      <alignment vertical="center"/>
    </xf>
    <xf numFmtId="9" fontId="36" fillId="4" borderId="5" xfId="0" applyNumberFormat="1" applyFont="1" applyFill="1" applyBorder="1" applyAlignment="1">
      <alignment vertical="center"/>
    </xf>
    <xf numFmtId="0" fontId="37" fillId="4" borderId="5" xfId="0" applyFont="1" applyFill="1" applyBorder="1" applyAlignment="1">
      <alignment horizontal="center" vertical="center" shrinkToFit="1"/>
    </xf>
    <xf numFmtId="0" fontId="33" fillId="3" borderId="15" xfId="0" applyFont="1" applyFill="1" applyBorder="1" applyAlignment="1">
      <alignment horizontal="right" vertical="center"/>
    </xf>
    <xf numFmtId="164" fontId="33" fillId="3" borderId="15" xfId="1" applyNumberFormat="1" applyFont="1" applyFill="1" applyBorder="1" applyAlignment="1">
      <alignment horizontal="center" vertical="center"/>
    </xf>
    <xf numFmtId="0" fontId="36" fillId="0" borderId="4" xfId="0" applyFont="1" applyBorder="1" applyAlignment="1">
      <alignment horizontal="left" vertical="center" wrapText="1" indent="1"/>
    </xf>
    <xf numFmtId="0" fontId="36" fillId="4" borderId="4" xfId="0" applyFont="1" applyFill="1" applyBorder="1" applyAlignment="1">
      <alignment horizontal="right" vertical="center"/>
    </xf>
    <xf numFmtId="164" fontId="37" fillId="0" borderId="4" xfId="1" applyNumberFormat="1" applyFont="1" applyBorder="1" applyAlignment="1">
      <alignment horizontal="center" vertical="center" shrinkToFit="1"/>
    </xf>
    <xf numFmtId="164" fontId="36" fillId="0" borderId="4" xfId="0" applyNumberFormat="1" applyFont="1" applyBorder="1" applyAlignment="1">
      <alignment vertical="center"/>
    </xf>
    <xf numFmtId="41" fontId="36" fillId="0" borderId="6" xfId="0" applyNumberFormat="1" applyFont="1" applyBorder="1" applyAlignment="1">
      <alignment horizontal="center" vertical="center" shrinkToFit="1"/>
    </xf>
    <xf numFmtId="0" fontId="36" fillId="0" borderId="5" xfId="0" applyFont="1" applyBorder="1" applyAlignment="1">
      <alignment horizontal="left" vertical="center" wrapText="1" indent="1"/>
    </xf>
    <xf numFmtId="0" fontId="36" fillId="4" borderId="5" xfId="0" applyFont="1" applyFill="1" applyBorder="1" applyAlignment="1">
      <alignment horizontal="right" vertical="center"/>
    </xf>
    <xf numFmtId="164" fontId="37" fillId="0" borderId="5" xfId="1" applyNumberFormat="1" applyFont="1" applyBorder="1" applyAlignment="1">
      <alignment horizontal="center" vertical="center" shrinkToFit="1"/>
    </xf>
    <xf numFmtId="164" fontId="36" fillId="0" borderId="5" xfId="1" applyNumberFormat="1" applyFont="1" applyBorder="1" applyAlignment="1">
      <alignment vertical="center"/>
    </xf>
    <xf numFmtId="0" fontId="36" fillId="0" borderId="5" xfId="0" applyFont="1" applyBorder="1" applyAlignment="1">
      <alignment vertical="center"/>
    </xf>
    <xf numFmtId="0" fontId="33" fillId="3" borderId="2" xfId="0" applyFont="1" applyFill="1" applyBorder="1" applyAlignment="1">
      <alignment horizontal="centerContinuous" vertical="center" wrapText="1"/>
    </xf>
    <xf numFmtId="0" fontId="33" fillId="3" borderId="2" xfId="0" applyFont="1" applyFill="1" applyBorder="1" applyAlignment="1">
      <alignment horizontal="right" vertical="center" shrinkToFit="1"/>
    </xf>
    <xf numFmtId="164" fontId="33" fillId="3" borderId="2" xfId="0" applyNumberFormat="1" applyFont="1" applyFill="1" applyBorder="1" applyAlignment="1">
      <alignment horizontal="right" vertical="center" shrinkToFit="1"/>
    </xf>
    <xf numFmtId="164" fontId="33" fillId="3" borderId="2" xfId="3" applyNumberFormat="1" applyFont="1" applyFill="1" applyBorder="1" applyAlignment="1">
      <alignment horizontal="right" vertical="center" shrinkToFit="1"/>
    </xf>
    <xf numFmtId="9" fontId="33" fillId="3" borderId="2" xfId="4" applyFont="1" applyFill="1" applyBorder="1" applyAlignment="1">
      <alignment horizontal="right" vertical="center" shrinkToFit="1"/>
    </xf>
    <xf numFmtId="0" fontId="36" fillId="3" borderId="2" xfId="0" applyFont="1" applyFill="1" applyBorder="1" applyAlignment="1">
      <alignment horizontal="center" vertical="center"/>
    </xf>
    <xf numFmtId="164" fontId="36" fillId="0" borderId="0" xfId="1" applyNumberFormat="1" applyFont="1"/>
    <xf numFmtId="9" fontId="36" fillId="0" borderId="0" xfId="4" applyFont="1"/>
    <xf numFmtId="0" fontId="36" fillId="0" borderId="13" xfId="0" applyFont="1" applyBorder="1"/>
    <xf numFmtId="164" fontId="33" fillId="0" borderId="13" xfId="1" applyNumberFormat="1" applyFont="1" applyBorder="1"/>
    <xf numFmtId="164" fontId="36" fillId="4" borderId="13" xfId="0" applyNumberFormat="1" applyFont="1" applyFill="1" applyBorder="1" applyAlignment="1">
      <alignment vertical="center"/>
    </xf>
    <xf numFmtId="164" fontId="36" fillId="0" borderId="13" xfId="1" applyNumberFormat="1" applyFont="1" applyBorder="1"/>
    <xf numFmtId="164" fontId="36" fillId="0" borderId="13" xfId="0" applyNumberFormat="1" applyFont="1" applyBorder="1"/>
    <xf numFmtId="9" fontId="36" fillId="3" borderId="2" xfId="4" applyFont="1" applyFill="1" applyBorder="1" applyAlignment="1">
      <alignment horizontal="right" vertical="center" shrinkToFit="1"/>
    </xf>
    <xf numFmtId="164" fontId="36" fillId="3" borderId="2" xfId="1" applyNumberFormat="1" applyFont="1" applyFill="1" applyBorder="1" applyAlignment="1">
      <alignment horizontal="right" vertical="center"/>
    </xf>
    <xf numFmtId="0" fontId="33" fillId="3" borderId="16" xfId="0" applyFont="1" applyFill="1" applyBorder="1" applyAlignment="1">
      <alignment horizontal="centerContinuous" vertical="center" wrapText="1"/>
    </xf>
    <xf numFmtId="0" fontId="33" fillId="3" borderId="16" xfId="0" applyFont="1" applyFill="1" applyBorder="1" applyAlignment="1">
      <alignment horizontal="center" vertical="center"/>
    </xf>
    <xf numFmtId="0" fontId="33" fillId="3" borderId="16" xfId="0" applyFont="1" applyFill="1" applyBorder="1" applyAlignment="1">
      <alignment horizontal="right" vertical="center" shrinkToFit="1"/>
    </xf>
    <xf numFmtId="164" fontId="33" fillId="3" borderId="16" xfId="3" applyNumberFormat="1" applyFont="1" applyFill="1" applyBorder="1" applyAlignment="1">
      <alignment horizontal="right" vertical="center" shrinkToFit="1"/>
    </xf>
    <xf numFmtId="164" fontId="29" fillId="3" borderId="2" xfId="3" applyNumberFormat="1" applyFont="1" applyFill="1" applyBorder="1" applyAlignment="1">
      <alignment horizontal="right" vertical="center" shrinkToFit="1"/>
    </xf>
    <xf numFmtId="9" fontId="41" fillId="3" borderId="2" xfId="4" applyFont="1" applyFill="1" applyBorder="1" applyAlignment="1">
      <alignment horizontal="right" vertical="center" shrinkToFit="1"/>
    </xf>
    <xf numFmtId="164" fontId="33" fillId="3" borderId="2" xfId="1" applyNumberFormat="1" applyFont="1" applyFill="1" applyBorder="1" applyAlignment="1">
      <alignment horizontal="right" vertical="center"/>
    </xf>
    <xf numFmtId="0" fontId="29" fillId="0" borderId="13" xfId="0" applyFont="1" applyBorder="1" applyAlignment="1">
      <alignment vertical="center"/>
    </xf>
    <xf numFmtId="9" fontId="42" fillId="0" borderId="13" xfId="0" applyNumberFormat="1" applyFont="1" applyBorder="1" applyAlignment="1">
      <alignment horizontal="center" vertical="center"/>
    </xf>
    <xf numFmtId="43" fontId="36" fillId="0" borderId="0" xfId="1" applyFont="1" applyAlignment="1">
      <alignment vertical="center"/>
    </xf>
    <xf numFmtId="0" fontId="44" fillId="0" borderId="13" xfId="0" applyFont="1" applyBorder="1"/>
    <xf numFmtId="0" fontId="42" fillId="0" borderId="13" xfId="0" applyFont="1" applyBorder="1" applyAlignment="1">
      <alignment horizontal="center" vertical="center" shrinkToFit="1"/>
    </xf>
    <xf numFmtId="164" fontId="36" fillId="0" borderId="0" xfId="4" applyNumberFormat="1" applyFont="1" applyAlignment="1">
      <alignment vertical="center"/>
    </xf>
    <xf numFmtId="9" fontId="42" fillId="0" borderId="13" xfId="0" applyNumberFormat="1" applyFont="1" applyBorder="1" applyAlignment="1">
      <alignment horizontal="center" vertical="center" shrinkToFit="1"/>
    </xf>
    <xf numFmtId="0" fontId="42" fillId="0" borderId="13" xfId="34" applyNumberFormat="1" applyFont="1" applyBorder="1" applyAlignment="1">
      <alignment horizontal="center" vertical="center" shrinkToFit="1"/>
    </xf>
    <xf numFmtId="164" fontId="36" fillId="0" borderId="0" xfId="0" applyNumberFormat="1" applyFont="1"/>
    <xf numFmtId="0" fontId="36" fillId="8" borderId="0" xfId="0" applyFont="1" applyFill="1" applyAlignment="1">
      <alignment horizontal="center" vertical="center"/>
    </xf>
    <xf numFmtId="0" fontId="40" fillId="8" borderId="0" xfId="0" applyFont="1" applyFill="1" applyAlignment="1">
      <alignment horizontal="center" vertical="center"/>
    </xf>
    <xf numFmtId="0" fontId="42" fillId="8" borderId="0" xfId="34" applyNumberFormat="1" applyFont="1" applyFill="1" applyAlignment="1">
      <alignment horizontal="center" vertical="center" shrinkToFit="1"/>
    </xf>
    <xf numFmtId="164" fontId="40" fillId="8" borderId="0" xfId="1" applyNumberFormat="1" applyFont="1" applyFill="1" applyAlignment="1">
      <alignment horizontal="center" shrinkToFit="1"/>
    </xf>
    <xf numFmtId="0" fontId="31" fillId="4" borderId="0" xfId="0" applyFont="1" applyFill="1"/>
    <xf numFmtId="165" fontId="42" fillId="4" borderId="0" xfId="4" applyNumberFormat="1" applyFont="1" applyFill="1" applyAlignment="1">
      <alignment horizontal="center" vertical="center" shrinkToFit="1"/>
    </xf>
    <xf numFmtId="164" fontId="42" fillId="4" borderId="0" xfId="1" applyNumberFormat="1" applyFont="1" applyFill="1" applyAlignment="1">
      <alignment horizontal="center" vertical="center" shrinkToFit="1"/>
    </xf>
    <xf numFmtId="9" fontId="40" fillId="4" borderId="0" xfId="4" applyFont="1" applyFill="1" applyAlignment="1">
      <alignment horizontal="center" shrinkToFit="1"/>
    </xf>
    <xf numFmtId="164" fontId="40" fillId="4" borderId="0" xfId="1" applyNumberFormat="1" applyFont="1" applyFill="1" applyAlignment="1">
      <alignment horizontal="center" shrinkToFit="1"/>
    </xf>
    <xf numFmtId="0" fontId="31" fillId="4" borderId="0" xfId="0" applyFont="1" applyFill="1" applyAlignment="1">
      <alignment horizontal="center" vertical="center"/>
    </xf>
    <xf numFmtId="0" fontId="33" fillId="3" borderId="13" xfId="0" applyFont="1" applyFill="1" applyBorder="1" applyAlignment="1">
      <alignment horizontal="center" vertical="center"/>
    </xf>
    <xf numFmtId="0" fontId="33" fillId="3" borderId="13" xfId="0" applyFont="1" applyFill="1" applyBorder="1" applyAlignment="1">
      <alignment vertical="center"/>
    </xf>
    <xf numFmtId="164" fontId="33" fillId="3" borderId="13" xfId="29" applyNumberFormat="1" applyFont="1" applyFill="1" applyBorder="1" applyAlignment="1">
      <alignment horizontal="center" vertical="center"/>
    </xf>
    <xf numFmtId="0" fontId="31" fillId="4" borderId="0" xfId="0" applyFont="1" applyFill="1" applyAlignment="1">
      <alignment vertical="center"/>
    </xf>
    <xf numFmtId="9" fontId="40" fillId="4" borderId="0" xfId="4" applyFont="1" applyFill="1" applyAlignment="1">
      <alignment horizontal="center" vertical="center" shrinkToFit="1"/>
    </xf>
    <xf numFmtId="0" fontId="46" fillId="4" borderId="0" xfId="0" applyFont="1" applyFill="1" applyAlignment="1">
      <alignment horizontal="center" vertical="center"/>
    </xf>
    <xf numFmtId="164" fontId="31" fillId="4" borderId="0" xfId="0" applyNumberFormat="1" applyFont="1" applyFill="1" applyAlignment="1">
      <alignment horizontal="center" vertical="center"/>
    </xf>
    <xf numFmtId="164" fontId="46" fillId="0" borderId="0" xfId="29" applyNumberFormat="1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10" fontId="33" fillId="3" borderId="13" xfId="4" applyNumberFormat="1" applyFont="1" applyFill="1" applyBorder="1" applyAlignment="1">
      <alignment horizontal="right" vertical="center"/>
    </xf>
    <xf numFmtId="9" fontId="33" fillId="3" borderId="13" xfId="4" applyFont="1" applyFill="1" applyBorder="1" applyAlignment="1">
      <alignment vertical="center"/>
    </xf>
    <xf numFmtId="164" fontId="33" fillId="4" borderId="0" xfId="0" applyNumberFormat="1" applyFont="1" applyFill="1" applyAlignment="1">
      <alignment horizontal="centerContinuous" vertical="center"/>
    </xf>
    <xf numFmtId="9" fontId="36" fillId="4" borderId="0" xfId="4" applyFont="1" applyFill="1" applyAlignment="1">
      <alignment horizontal="right" vertical="center"/>
    </xf>
    <xf numFmtId="164" fontId="33" fillId="0" borderId="0" xfId="0" applyNumberFormat="1" applyFont="1" applyAlignment="1">
      <alignment horizontal="centerContinuous" vertical="center"/>
    </xf>
    <xf numFmtId="9" fontId="36" fillId="0" borderId="0" xfId="4" applyFont="1" applyAlignment="1">
      <alignment horizontal="right" vertical="center"/>
    </xf>
    <xf numFmtId="0" fontId="36" fillId="0" borderId="13" xfId="0" applyFont="1" applyBorder="1" applyAlignment="1">
      <alignment horizontal="center" vertical="center"/>
    </xf>
    <xf numFmtId="0" fontId="47" fillId="0" borderId="13" xfId="0" applyFont="1" applyBorder="1" applyAlignment="1">
      <alignment horizontal="left" vertical="center"/>
    </xf>
    <xf numFmtId="10" fontId="36" fillId="0" borderId="13" xfId="4" applyNumberFormat="1" applyFont="1" applyBorder="1" applyAlignment="1">
      <alignment vertical="center"/>
    </xf>
    <xf numFmtId="9" fontId="36" fillId="4" borderId="0" xfId="4" applyFont="1" applyFill="1" applyAlignment="1">
      <alignment vertical="center"/>
    </xf>
    <xf numFmtId="9" fontId="36" fillId="0" borderId="0" xfId="4" applyFont="1" applyAlignment="1">
      <alignment vertical="center"/>
    </xf>
    <xf numFmtId="164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10" fontId="33" fillId="3" borderId="13" xfId="4" applyNumberFormat="1" applyFont="1" applyFill="1" applyBorder="1" applyAlignment="1">
      <alignment vertical="center"/>
    </xf>
    <xf numFmtId="10" fontId="36" fillId="0" borderId="13" xfId="0" applyNumberFormat="1" applyFont="1" applyBorder="1" applyAlignment="1">
      <alignment vertical="center"/>
    </xf>
    <xf numFmtId="164" fontId="46" fillId="4" borderId="0" xfId="29" applyNumberFormat="1" applyFont="1" applyFill="1" applyAlignment="1">
      <alignment horizontal="center" vertical="center"/>
    </xf>
    <xf numFmtId="165" fontId="31" fillId="0" borderId="13" xfId="4" applyNumberFormat="1" applyFont="1" applyBorder="1" applyAlignment="1">
      <alignment horizontal="center" vertical="center"/>
    </xf>
    <xf numFmtId="165" fontId="36" fillId="0" borderId="13" xfId="4" applyNumberFormat="1" applyFont="1" applyBorder="1" applyAlignment="1">
      <alignment vertical="center"/>
    </xf>
    <xf numFmtId="9" fontId="31" fillId="0" borderId="0" xfId="4" applyFont="1" applyAlignment="1">
      <alignment horizontal="center" vertical="center"/>
    </xf>
    <xf numFmtId="165" fontId="33" fillId="0" borderId="13" xfId="4" applyNumberFormat="1" applyFont="1" applyBorder="1" applyAlignment="1">
      <alignment vertical="center"/>
    </xf>
    <xf numFmtId="165" fontId="33" fillId="0" borderId="0" xfId="4" applyNumberFormat="1" applyFont="1" applyAlignment="1">
      <alignment vertical="center"/>
    </xf>
    <xf numFmtId="164" fontId="36" fillId="0" borderId="0" xfId="0" applyNumberFormat="1" applyFont="1" applyAlignment="1">
      <alignment vertical="center"/>
    </xf>
    <xf numFmtId="9" fontId="33" fillId="0" borderId="0" xfId="4" applyFont="1" applyAlignment="1">
      <alignment vertical="center"/>
    </xf>
    <xf numFmtId="0" fontId="33" fillId="3" borderId="13" xfId="0" applyFont="1" applyFill="1" applyBorder="1" applyAlignment="1">
      <alignment vertical="center" wrapText="1"/>
    </xf>
    <xf numFmtId="164" fontId="33" fillId="4" borderId="0" xfId="0" applyNumberFormat="1" applyFont="1" applyFill="1" applyAlignment="1">
      <alignment horizontal="center" vertical="center"/>
    </xf>
    <xf numFmtId="0" fontId="47" fillId="0" borderId="13" xfId="0" applyFont="1" applyBorder="1" applyAlignment="1">
      <alignment horizontal="left" vertical="center" wrapText="1"/>
    </xf>
    <xf numFmtId="10" fontId="31" fillId="0" borderId="13" xfId="4" applyNumberFormat="1" applyFont="1" applyBorder="1" applyAlignment="1">
      <alignment horizontal="center" vertical="center"/>
    </xf>
    <xf numFmtId="0" fontId="49" fillId="0" borderId="0" xfId="0" applyFont="1"/>
    <xf numFmtId="9" fontId="36" fillId="0" borderId="0" xfId="4" applyFont="1" applyAlignment="1">
      <alignment horizontal="center" vertical="center"/>
    </xf>
    <xf numFmtId="0" fontId="33" fillId="0" borderId="0" xfId="0" applyFont="1" applyAlignment="1">
      <alignment vertical="center"/>
    </xf>
    <xf numFmtId="0" fontId="33" fillId="0" borderId="0" xfId="0" applyFont="1"/>
    <xf numFmtId="0" fontId="31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0" fontId="15" fillId="0" borderId="6" xfId="0" applyFont="1" applyBorder="1" applyAlignment="1">
      <alignment horizontal="center" vertical="center"/>
    </xf>
    <xf numFmtId="164" fontId="15" fillId="0" borderId="6" xfId="1" applyNumberFormat="1" applyFont="1" applyBorder="1" applyAlignment="1">
      <alignment horizontal="center" vertical="center" shrinkToFit="1"/>
    </xf>
    <xf numFmtId="0" fontId="19" fillId="0" borderId="6" xfId="0" applyFont="1" applyBorder="1" applyAlignment="1">
      <alignment horizontal="center" vertical="center"/>
    </xf>
    <xf numFmtId="0" fontId="19" fillId="0" borderId="15" xfId="0" quotePrefix="1" applyFont="1" applyBorder="1" applyAlignment="1">
      <alignment vertical="center" wrapText="1"/>
    </xf>
    <xf numFmtId="0" fontId="19" fillId="0" borderId="15" xfId="0" quotePrefix="1" applyFont="1" applyBorder="1" applyAlignment="1">
      <alignment horizontal="left" vertical="center" wrapText="1"/>
    </xf>
    <xf numFmtId="0" fontId="19" fillId="4" borderId="15" xfId="28" quotePrefix="1" applyFont="1" applyFill="1" applyBorder="1" applyAlignment="1">
      <alignment horizontal="left" vertical="center" wrapText="1"/>
    </xf>
    <xf numFmtId="0" fontId="19" fillId="4" borderId="15" xfId="0" quotePrefix="1" applyFont="1" applyFill="1" applyBorder="1" applyAlignment="1">
      <alignment vertical="center" wrapText="1"/>
    </xf>
    <xf numFmtId="0" fontId="15" fillId="0" borderId="15" xfId="0" applyFont="1" applyBorder="1" applyAlignment="1">
      <alignment horizontal="left" vertical="center"/>
    </xf>
    <xf numFmtId="0" fontId="10" fillId="0" borderId="15" xfId="0" applyFont="1" applyBorder="1" applyAlignment="1">
      <alignment horizontal="center" vertical="center"/>
    </xf>
    <xf numFmtId="0" fontId="18" fillId="4" borderId="15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 wrapText="1"/>
    </xf>
    <xf numFmtId="43" fontId="25" fillId="0" borderId="0" xfId="1" applyFont="1" applyAlignment="1">
      <alignment horizontal="center" vertical="center"/>
    </xf>
    <xf numFmtId="0" fontId="0" fillId="0" borderId="15" xfId="0" applyBorder="1"/>
    <xf numFmtId="0" fontId="0" fillId="11" borderId="0" xfId="0" applyFill="1"/>
    <xf numFmtId="164" fontId="15" fillId="10" borderId="15" xfId="1" applyNumberFormat="1" applyFont="1" applyFill="1" applyBorder="1" applyAlignment="1">
      <alignment horizontal="center" vertical="center" shrinkToFit="1"/>
    </xf>
    <xf numFmtId="0" fontId="52" fillId="0" borderId="15" xfId="0" applyFont="1" applyBorder="1" applyAlignment="1">
      <alignment horizontal="left" vertical="center"/>
    </xf>
    <xf numFmtId="0" fontId="53" fillId="0" borderId="15" xfId="0" applyFont="1" applyBorder="1" applyAlignment="1">
      <alignment horizontal="left" vertical="center"/>
    </xf>
    <xf numFmtId="164" fontId="16" fillId="0" borderId="15" xfId="1" applyNumberFormat="1" applyFont="1" applyBorder="1" applyAlignment="1">
      <alignment horizontal="center" vertical="center"/>
    </xf>
    <xf numFmtId="0" fontId="52" fillId="10" borderId="15" xfId="0" applyFont="1" applyFill="1" applyBorder="1" applyAlignment="1">
      <alignment horizontal="left" vertical="center"/>
    </xf>
    <xf numFmtId="0" fontId="16" fillId="10" borderId="15" xfId="0" applyFont="1" applyFill="1" applyBorder="1" applyAlignment="1">
      <alignment horizontal="left" vertical="center"/>
    </xf>
    <xf numFmtId="164" fontId="16" fillId="10" borderId="15" xfId="1" applyNumberFormat="1" applyFont="1" applyFill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10" borderId="15" xfId="0" applyFont="1" applyFill="1" applyBorder="1" applyAlignment="1">
      <alignment horizontal="center" vertical="center"/>
    </xf>
    <xf numFmtId="164" fontId="16" fillId="0" borderId="15" xfId="1" applyNumberFormat="1" applyFont="1" applyBorder="1" applyAlignment="1">
      <alignment horizontal="center" vertical="center" wrapText="1"/>
    </xf>
    <xf numFmtId="0" fontId="15" fillId="10" borderId="15" xfId="0" applyFont="1" applyFill="1" applyBorder="1" applyAlignment="1">
      <alignment horizontal="center" vertical="center"/>
    </xf>
    <xf numFmtId="0" fontId="15" fillId="10" borderId="15" xfId="0" applyFont="1" applyFill="1" applyBorder="1" applyAlignment="1">
      <alignment horizontal="left" vertical="center" wrapText="1"/>
    </xf>
    <xf numFmtId="0" fontId="15" fillId="10" borderId="23" xfId="0" applyFont="1" applyFill="1" applyBorder="1" applyAlignment="1">
      <alignment horizontal="center" vertical="center"/>
    </xf>
    <xf numFmtId="164" fontId="15" fillId="10" borderId="23" xfId="1" applyNumberFormat="1" applyFont="1" applyFill="1" applyBorder="1" applyAlignment="1">
      <alignment horizontal="center" vertical="center" shrinkToFit="1"/>
    </xf>
    <xf numFmtId="0" fontId="19" fillId="10" borderId="15" xfId="0" applyFont="1" applyFill="1" applyBorder="1" applyAlignment="1">
      <alignment horizontal="center" vertical="center"/>
    </xf>
    <xf numFmtId="3" fontId="15" fillId="8" borderId="19" xfId="0" applyNumberFormat="1" applyFont="1" applyFill="1" applyBorder="1" applyAlignment="1">
      <alignment horizontal="center" vertical="center" shrinkToFit="1"/>
    </xf>
    <xf numFmtId="0" fontId="52" fillId="0" borderId="15" xfId="0" applyFont="1" applyBorder="1" applyAlignment="1">
      <alignment horizontal="left" vertical="center" wrapText="1"/>
    </xf>
    <xf numFmtId="0" fontId="15" fillId="10" borderId="16" xfId="0" applyFont="1" applyFill="1" applyBorder="1" applyAlignment="1">
      <alignment horizontal="center" vertical="center"/>
    </xf>
    <xf numFmtId="0" fontId="15" fillId="10" borderId="16" xfId="0" applyFont="1" applyFill="1" applyBorder="1" applyAlignment="1">
      <alignment horizontal="left" vertical="center" wrapText="1"/>
    </xf>
    <xf numFmtId="0" fontId="19" fillId="10" borderId="16" xfId="0" applyFont="1" applyFill="1" applyBorder="1" applyAlignment="1">
      <alignment horizontal="left" vertical="center" wrapText="1"/>
    </xf>
    <xf numFmtId="0" fontId="15" fillId="0" borderId="15" xfId="0" applyFont="1" applyBorder="1" applyAlignment="1">
      <alignment horizontal="center" vertical="center"/>
    </xf>
    <xf numFmtId="164" fontId="15" fillId="0" borderId="15" xfId="1" applyNumberFormat="1" applyFont="1" applyBorder="1" applyAlignment="1">
      <alignment horizontal="center" vertical="center" shrinkToFit="1"/>
    </xf>
    <xf numFmtId="0" fontId="19" fillId="0" borderId="15" xfId="0" applyFont="1" applyBorder="1" applyAlignment="1">
      <alignment horizontal="center" vertical="center"/>
    </xf>
    <xf numFmtId="0" fontId="19" fillId="10" borderId="16" xfId="0" applyFont="1" applyFill="1" applyBorder="1" applyAlignment="1">
      <alignment horizontal="center" vertical="center" wrapText="1"/>
    </xf>
    <xf numFmtId="164" fontId="15" fillId="10" borderId="14" xfId="1" applyNumberFormat="1" applyFont="1" applyFill="1" applyBorder="1" applyAlignment="1">
      <alignment horizontal="center" vertical="center" shrinkToFit="1"/>
    </xf>
    <xf numFmtId="43" fontId="15" fillId="0" borderId="15" xfId="1" applyFont="1" applyBorder="1" applyAlignment="1">
      <alignment horizontal="center" vertical="center" shrinkToFit="1"/>
    </xf>
    <xf numFmtId="0" fontId="15" fillId="0" borderId="15" xfId="1" applyNumberFormat="1" applyFont="1" applyBorder="1" applyAlignment="1">
      <alignment horizontal="center" vertical="center" shrinkToFit="1"/>
    </xf>
    <xf numFmtId="0" fontId="15" fillId="10" borderId="15" xfId="1" applyNumberFormat="1" applyFont="1" applyFill="1" applyBorder="1" applyAlignment="1">
      <alignment horizontal="center" vertical="center" shrinkToFit="1"/>
    </xf>
    <xf numFmtId="0" fontId="16" fillId="0" borderId="0" xfId="3" applyNumberFormat="1" applyFont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8" fillId="8" borderId="22" xfId="0" applyFont="1" applyFill="1" applyBorder="1" applyAlignment="1">
      <alignment horizontal="left" vertical="center"/>
    </xf>
    <xf numFmtId="0" fontId="15" fillId="0" borderId="6" xfId="1" applyNumberFormat="1" applyFont="1" applyBorder="1" applyAlignment="1">
      <alignment horizontal="center" vertical="center" shrinkToFit="1"/>
    </xf>
    <xf numFmtId="0" fontId="15" fillId="0" borderId="4" xfId="1" applyNumberFormat="1" applyFont="1" applyBorder="1" applyAlignment="1">
      <alignment horizontal="center" vertical="center" shrinkToFit="1"/>
    </xf>
    <xf numFmtId="0" fontId="15" fillId="0" borderId="5" xfId="1" applyNumberFormat="1" applyFont="1" applyBorder="1" applyAlignment="1">
      <alignment horizontal="center" vertical="center" shrinkToFit="1"/>
    </xf>
    <xf numFmtId="0" fontId="18" fillId="8" borderId="15" xfId="0" applyFont="1" applyFill="1" applyBorder="1" applyAlignment="1">
      <alignment horizontal="center" vertical="center"/>
    </xf>
    <xf numFmtId="0" fontId="15" fillId="8" borderId="19" xfId="0" applyFont="1" applyFill="1" applyBorder="1" applyAlignment="1">
      <alignment horizontal="center" vertical="center" shrinkToFit="1"/>
    </xf>
    <xf numFmtId="0" fontId="15" fillId="10" borderId="14" xfId="1" applyNumberFormat="1" applyFont="1" applyFill="1" applyBorder="1" applyAlignment="1">
      <alignment horizontal="center" vertical="center" shrinkToFit="1"/>
    </xf>
    <xf numFmtId="0" fontId="15" fillId="0" borderId="7" xfId="1" applyNumberFormat="1" applyFont="1" applyBorder="1" applyAlignment="1">
      <alignment horizontal="center" vertical="center" shrinkToFit="1"/>
    </xf>
    <xf numFmtId="0" fontId="52" fillId="0" borderId="15" xfId="0" applyFont="1" applyBorder="1" applyAlignment="1">
      <alignment horizontal="center" vertical="center"/>
    </xf>
    <xf numFmtId="0" fontId="52" fillId="10" borderId="15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43" fontId="52" fillId="10" borderId="15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15" fillId="0" borderId="15" xfId="0" applyFont="1" applyBorder="1" applyAlignment="1">
      <alignment vertical="center" wrapText="1"/>
    </xf>
    <xf numFmtId="0" fontId="15" fillId="0" borderId="17" xfId="0" applyFont="1" applyBorder="1" applyAlignment="1">
      <alignment vertical="center" wrapText="1"/>
    </xf>
    <xf numFmtId="0" fontId="15" fillId="0" borderId="15" xfId="0" quotePrefix="1" applyFont="1" applyBorder="1" applyAlignment="1">
      <alignment vertical="center" wrapText="1"/>
    </xf>
    <xf numFmtId="0" fontId="5" fillId="0" borderId="0" xfId="0" applyFont="1"/>
    <xf numFmtId="0" fontId="57" fillId="13" borderId="15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/>
    </xf>
    <xf numFmtId="0" fontId="0" fillId="14" borderId="15" xfId="0" applyFill="1" applyBorder="1"/>
    <xf numFmtId="0" fontId="19" fillId="0" borderId="15" xfId="0" applyFont="1" applyBorder="1" applyAlignment="1">
      <alignment horizontal="left" vertical="center" wrapText="1"/>
    </xf>
    <xf numFmtId="0" fontId="15" fillId="0" borderId="15" xfId="0" quotePrefix="1" applyFont="1" applyBorder="1" applyAlignment="1">
      <alignment horizontal="center" vertical="center"/>
    </xf>
    <xf numFmtId="0" fontId="15" fillId="5" borderId="0" xfId="0" applyFont="1" applyFill="1" applyAlignment="1">
      <alignment horizontal="left" vertical="center"/>
    </xf>
    <xf numFmtId="164" fontId="16" fillId="5" borderId="0" xfId="3" applyNumberFormat="1" applyFont="1" applyFill="1" applyAlignment="1">
      <alignment horizontal="center" vertical="center" wrapText="1"/>
    </xf>
    <xf numFmtId="0" fontId="16" fillId="5" borderId="0" xfId="3" applyNumberFormat="1" applyFont="1" applyFill="1" applyAlignment="1">
      <alignment horizontal="center" vertical="center" wrapText="1"/>
    </xf>
    <xf numFmtId="0" fontId="15" fillId="5" borderId="0" xfId="0" applyFont="1" applyFill="1" applyAlignment="1">
      <alignment horizontal="center" vertical="center"/>
    </xf>
    <xf numFmtId="0" fontId="17" fillId="8" borderId="19" xfId="0" applyFont="1" applyFill="1" applyBorder="1" applyAlignment="1">
      <alignment horizontal="left" vertical="center"/>
    </xf>
    <xf numFmtId="0" fontId="22" fillId="0" borderId="0" xfId="0" applyFont="1" applyAlignment="1">
      <alignment horizontal="center" vertical="center"/>
    </xf>
    <xf numFmtId="164" fontId="33" fillId="4" borderId="24" xfId="0" applyNumberFormat="1" applyFont="1" applyFill="1" applyBorder="1" applyAlignment="1">
      <alignment vertical="center" wrapText="1"/>
    </xf>
    <xf numFmtId="164" fontId="33" fillId="4" borderId="25" xfId="0" applyNumberFormat="1" applyFont="1" applyFill="1" applyBorder="1" applyAlignment="1">
      <alignment vertical="center" wrapText="1"/>
    </xf>
    <xf numFmtId="0" fontId="0" fillId="4" borderId="15" xfId="0" applyFill="1" applyBorder="1"/>
    <xf numFmtId="0" fontId="0" fillId="0" borderId="15" xfId="0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59" fillId="0" borderId="0" xfId="0" applyFont="1"/>
    <xf numFmtId="164" fontId="15" fillId="4" borderId="15" xfId="1" applyNumberFormat="1" applyFont="1" applyFill="1" applyBorder="1" applyAlignment="1">
      <alignment horizontal="center" vertical="center" shrinkToFit="1"/>
    </xf>
    <xf numFmtId="0" fontId="15" fillId="0" borderId="32" xfId="0" applyFont="1" applyBorder="1" applyAlignment="1">
      <alignment horizontal="center" vertical="center"/>
    </xf>
    <xf numFmtId="0" fontId="19" fillId="4" borderId="32" xfId="28" quotePrefix="1" applyFont="1" applyFill="1" applyBorder="1" applyAlignment="1">
      <alignment horizontal="left" vertical="center" wrapText="1"/>
    </xf>
    <xf numFmtId="164" fontId="15" fillId="0" borderId="32" xfId="1" applyNumberFormat="1" applyFont="1" applyBorder="1" applyAlignment="1">
      <alignment horizontal="center" vertical="center" shrinkToFit="1"/>
    </xf>
    <xf numFmtId="0" fontId="15" fillId="0" borderId="32" xfId="1" applyNumberFormat="1" applyFont="1" applyBorder="1" applyAlignment="1">
      <alignment horizontal="center" vertical="center" shrinkToFit="1"/>
    </xf>
    <xf numFmtId="43" fontId="15" fillId="0" borderId="32" xfId="1" applyFont="1" applyBorder="1" applyAlignment="1">
      <alignment horizontal="center" vertical="center" shrinkToFit="1"/>
    </xf>
    <xf numFmtId="0" fontId="19" fillId="0" borderId="32" xfId="0" applyFont="1" applyBorder="1" applyAlignment="1">
      <alignment horizontal="center" vertical="center"/>
    </xf>
    <xf numFmtId="0" fontId="0" fillId="0" borderId="32" xfId="0" applyBorder="1"/>
    <xf numFmtId="0" fontId="15" fillId="0" borderId="32" xfId="0" applyFont="1" applyBorder="1" applyAlignment="1">
      <alignment vertical="center" wrapText="1"/>
    </xf>
    <xf numFmtId="0" fontId="15" fillId="0" borderId="32" xfId="0" quotePrefix="1" applyFont="1" applyBorder="1" applyAlignment="1">
      <alignment vertical="center" wrapText="1"/>
    </xf>
    <xf numFmtId="0" fontId="0" fillId="0" borderId="0" xfId="0"/>
    <xf numFmtId="0" fontId="51" fillId="0" borderId="0" xfId="0" applyFont="1" applyAlignment="1">
      <alignment horizontal="center" vertical="center"/>
    </xf>
    <xf numFmtId="0" fontId="15" fillId="0" borderId="15" xfId="0" applyFont="1" applyBorder="1" applyAlignment="1">
      <alignment horizontal="left" vertical="center" wrapText="1"/>
    </xf>
    <xf numFmtId="0" fontId="27" fillId="0" borderId="0" xfId="0" applyFont="1" applyAlignment="1">
      <alignment horizontal="center" vertical="center"/>
    </xf>
    <xf numFmtId="0" fontId="17" fillId="8" borderId="17" xfId="0" applyFont="1" applyFill="1" applyBorder="1" applyAlignment="1">
      <alignment horizontal="left" vertical="center"/>
    </xf>
    <xf numFmtId="0" fontId="33" fillId="0" borderId="0" xfId="0" applyFont="1" applyAlignment="1">
      <alignment horizontal="center" vertical="center"/>
    </xf>
    <xf numFmtId="0" fontId="36" fillId="0" borderId="0" xfId="0" applyFont="1" applyAlignment="1">
      <alignment vertical="center"/>
    </xf>
    <xf numFmtId="164" fontId="36" fillId="0" borderId="0" xfId="1" applyNumberFormat="1" applyFont="1" applyAlignment="1">
      <alignment horizontal="center" vertical="center"/>
    </xf>
    <xf numFmtId="0" fontId="31" fillId="0" borderId="0" xfId="0" applyFont="1" applyAlignment="1">
      <alignment vertical="center"/>
    </xf>
    <xf numFmtId="0" fontId="36" fillId="0" borderId="0" xfId="0" applyFont="1" applyAlignment="1">
      <alignment horizontal="center" vertical="center"/>
    </xf>
    <xf numFmtId="0" fontId="36" fillId="0" borderId="0" xfId="0" applyFont="1"/>
    <xf numFmtId="0" fontId="33" fillId="5" borderId="8" xfId="0" applyFont="1" applyFill="1" applyBorder="1" applyAlignment="1">
      <alignment horizontal="center" vertical="center"/>
    </xf>
    <xf numFmtId="0" fontId="31" fillId="0" borderId="0" xfId="0" applyFont="1"/>
    <xf numFmtId="164" fontId="33" fillId="0" borderId="0" xfId="0" applyNumberFormat="1" applyFont="1" applyAlignment="1">
      <alignment horizontal="center" vertical="center"/>
    </xf>
    <xf numFmtId="0" fontId="0" fillId="11" borderId="0" xfId="0" applyFill="1" applyAlignment="1">
      <alignment horizontal="center"/>
    </xf>
    <xf numFmtId="0" fontId="0" fillId="0" borderId="0" xfId="0"/>
    <xf numFmtId="0" fontId="15" fillId="0" borderId="15" xfId="0" applyFont="1" applyBorder="1" applyAlignment="1">
      <alignment horizontal="left" vertical="center" wrapText="1"/>
    </xf>
    <xf numFmtId="0" fontId="0" fillId="0" borderId="18" xfId="0" applyBorder="1"/>
    <xf numFmtId="0" fontId="27" fillId="0" borderId="0" xfId="0" applyFont="1" applyAlignment="1">
      <alignment horizontal="center" vertical="center"/>
    </xf>
    <xf numFmtId="0" fontId="16" fillId="0" borderId="15" xfId="0" applyFont="1" applyBorder="1" applyAlignment="1">
      <alignment horizontal="left" vertical="center" wrapText="1"/>
    </xf>
    <xf numFmtId="0" fontId="16" fillId="4" borderId="15" xfId="0" applyFont="1" applyFill="1" applyBorder="1" applyAlignment="1">
      <alignment horizontal="left" vertical="center"/>
    </xf>
    <xf numFmtId="0" fontId="22" fillId="0" borderId="9" xfId="0" applyFont="1" applyBorder="1" applyAlignment="1">
      <alignment horizontal="center" vertical="center"/>
    </xf>
    <xf numFmtId="0" fontId="0" fillId="0" borderId="9" xfId="0" applyBorder="1"/>
    <xf numFmtId="0" fontId="16" fillId="0" borderId="15" xfId="0" applyFont="1" applyBorder="1" applyAlignment="1">
      <alignment horizontal="left" vertical="center"/>
    </xf>
    <xf numFmtId="43" fontId="25" fillId="0" borderId="0" xfId="1" applyFont="1" applyAlignment="1">
      <alignment horizontal="left" vertical="center"/>
    </xf>
    <xf numFmtId="0" fontId="15" fillId="0" borderId="31" xfId="0" applyFont="1" applyBorder="1" applyAlignment="1">
      <alignment horizontal="left" vertical="center" wrapText="1"/>
    </xf>
    <xf numFmtId="0" fontId="0" fillId="0" borderId="30" xfId="0" applyBorder="1"/>
    <xf numFmtId="0" fontId="51" fillId="0" borderId="0" xfId="0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17" fillId="8" borderId="17" xfId="0" applyFont="1" applyFill="1" applyBorder="1" applyAlignment="1">
      <alignment horizontal="left" vertical="center"/>
    </xf>
    <xf numFmtId="0" fontId="0" fillId="0" borderId="19" xfId="0" applyBorder="1"/>
    <xf numFmtId="0" fontId="58" fillId="5" borderId="1" xfId="0" applyFont="1" applyFill="1" applyBorder="1" applyAlignment="1">
      <alignment horizontal="center" vertical="center"/>
    </xf>
    <xf numFmtId="0" fontId="0" fillId="0" borderId="1" xfId="0" applyBorder="1"/>
    <xf numFmtId="0" fontId="56" fillId="12" borderId="15" xfId="0" applyFont="1" applyFill="1" applyBorder="1" applyAlignment="1">
      <alignment horizontal="center" vertical="center"/>
    </xf>
    <xf numFmtId="0" fontId="55" fillId="0" borderId="0" xfId="0" applyFont="1" applyAlignment="1">
      <alignment horizontal="center"/>
    </xf>
    <xf numFmtId="164" fontId="36" fillId="0" borderId="0" xfId="0" applyNumberFormat="1" applyFont="1" applyAlignment="1">
      <alignment horizontal="center" vertical="center"/>
    </xf>
    <xf numFmtId="0" fontId="31" fillId="0" borderId="0" xfId="0" applyFont="1" applyAlignment="1">
      <alignment vertical="center"/>
    </xf>
    <xf numFmtId="164" fontId="48" fillId="0" borderId="0" xfId="1" applyNumberFormat="1" applyFont="1" applyAlignment="1">
      <alignment horizontal="center" vertical="center"/>
    </xf>
    <xf numFmtId="0" fontId="36" fillId="0" borderId="0" xfId="0" applyFont="1" applyAlignment="1">
      <alignment vertical="center"/>
    </xf>
    <xf numFmtId="164" fontId="33" fillId="4" borderId="13" xfId="0" applyNumberFormat="1" applyFont="1" applyFill="1" applyBorder="1" applyAlignment="1">
      <alignment vertical="center" wrapText="1"/>
    </xf>
    <xf numFmtId="0" fontId="0" fillId="0" borderId="25" xfId="0" applyBorder="1"/>
    <xf numFmtId="164" fontId="33" fillId="3" borderId="13" xfId="0" applyNumberFormat="1" applyFont="1" applyFill="1" applyBorder="1" applyAlignment="1">
      <alignment horizontal="center" vertical="center"/>
    </xf>
    <xf numFmtId="164" fontId="33" fillId="4" borderId="13" xfId="0" applyNumberFormat="1" applyFont="1" applyFill="1" applyBorder="1" applyAlignment="1">
      <alignment horizontal="center" vertical="center" wrapText="1"/>
    </xf>
    <xf numFmtId="164" fontId="33" fillId="3" borderId="11" xfId="1" applyNumberFormat="1" applyFont="1" applyFill="1" applyBorder="1" applyAlignment="1">
      <alignment horizontal="center" vertical="center" wrapText="1"/>
    </xf>
    <xf numFmtId="0" fontId="33" fillId="5" borderId="32" xfId="0" applyFont="1" applyFill="1" applyBorder="1" applyAlignment="1">
      <alignment horizontal="center" vertical="center" wrapText="1"/>
    </xf>
    <xf numFmtId="0" fontId="0" fillId="0" borderId="33" xfId="0" applyBorder="1"/>
    <xf numFmtId="0" fontId="33" fillId="8" borderId="8" xfId="0" applyFont="1" applyFill="1" applyBorder="1" applyAlignment="1">
      <alignment horizontal="center" vertical="center" wrapText="1"/>
    </xf>
    <xf numFmtId="0" fontId="0" fillId="0" borderId="14" xfId="0" applyBorder="1"/>
    <xf numFmtId="0" fontId="33" fillId="5" borderId="32" xfId="0" applyFont="1" applyFill="1" applyBorder="1" applyAlignment="1">
      <alignment horizontal="center" vertical="center"/>
    </xf>
    <xf numFmtId="164" fontId="45" fillId="0" borderId="13" xfId="1" applyNumberFormat="1" applyFont="1" applyBorder="1" applyAlignment="1">
      <alignment horizontal="center" shrinkToFit="1"/>
    </xf>
    <xf numFmtId="164" fontId="36" fillId="4" borderId="13" xfId="0" applyNumberFormat="1" applyFont="1" applyFill="1" applyBorder="1" applyAlignment="1">
      <alignment horizontal="center" vertical="center" wrapText="1"/>
    </xf>
    <xf numFmtId="164" fontId="36" fillId="0" borderId="0" xfId="1" applyNumberFormat="1" applyFont="1" applyAlignment="1">
      <alignment horizontal="center" vertical="center"/>
    </xf>
    <xf numFmtId="164" fontId="33" fillId="3" borderId="13" xfId="0" applyNumberFormat="1" applyFont="1" applyFill="1" applyBorder="1" applyAlignment="1">
      <alignment horizontal="center" vertical="center" wrapText="1"/>
    </xf>
    <xf numFmtId="164" fontId="33" fillId="0" borderId="0" xfId="0" applyNumberFormat="1" applyFont="1" applyAlignment="1">
      <alignment horizontal="center" vertical="center"/>
    </xf>
    <xf numFmtId="0" fontId="33" fillId="6" borderId="2" xfId="0" applyFont="1" applyFill="1" applyBorder="1" applyAlignment="1">
      <alignment horizontal="center" vertical="center" wrapText="1"/>
    </xf>
    <xf numFmtId="0" fontId="0" fillId="0" borderId="7" xfId="0" applyBorder="1"/>
    <xf numFmtId="164" fontId="43" fillId="0" borderId="13" xfId="1" applyNumberFormat="1" applyFont="1" applyBorder="1" applyAlignment="1">
      <alignment horizontal="center" shrinkToFit="1"/>
    </xf>
    <xf numFmtId="164" fontId="33" fillId="8" borderId="11" xfId="0" applyNumberFormat="1" applyFont="1" applyFill="1" applyBorder="1" applyAlignment="1">
      <alignment horizontal="center" vertical="center" wrapText="1"/>
    </xf>
    <xf numFmtId="164" fontId="33" fillId="4" borderId="0" xfId="1" applyNumberFormat="1" applyFont="1" applyFill="1" applyAlignment="1">
      <alignment horizontal="center" vertical="center"/>
    </xf>
    <xf numFmtId="0" fontId="36" fillId="0" borderId="0" xfId="0" applyFont="1" applyAlignment="1">
      <alignment horizontal="center" vertical="center"/>
    </xf>
    <xf numFmtId="164" fontId="33" fillId="6" borderId="2" xfId="1" applyNumberFormat="1" applyFont="1" applyFill="1" applyBorder="1" applyAlignment="1">
      <alignment horizontal="center" vertical="center" wrapText="1"/>
    </xf>
    <xf numFmtId="164" fontId="36" fillId="4" borderId="13" xfId="0" applyNumberFormat="1" applyFont="1" applyFill="1" applyBorder="1" applyAlignment="1">
      <alignment horizontal="center" vertical="center"/>
    </xf>
    <xf numFmtId="0" fontId="33" fillId="5" borderId="8" xfId="0" applyFont="1" applyFill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6" fillId="0" borderId="0" xfId="0" applyFont="1"/>
    <xf numFmtId="166" fontId="33" fillId="0" borderId="0" xfId="0" applyNumberFormat="1" applyFont="1" applyAlignment="1">
      <alignment horizontal="center" vertical="center"/>
    </xf>
    <xf numFmtId="0" fontId="31" fillId="0" borderId="0" xfId="0" applyFont="1"/>
    <xf numFmtId="164" fontId="48" fillId="0" borderId="13" xfId="1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164" fontId="33" fillId="6" borderId="2" xfId="0" applyNumberFormat="1" applyFont="1" applyFill="1" applyBorder="1" applyAlignment="1">
      <alignment horizontal="center" vertical="center" wrapText="1"/>
    </xf>
    <xf numFmtId="0" fontId="33" fillId="3" borderId="8" xfId="0" applyFont="1" applyFill="1" applyBorder="1" applyAlignment="1">
      <alignment horizontal="center" vertical="center" wrapText="1"/>
    </xf>
  </cellXfs>
  <cellStyles count="40">
    <cellStyle name="Comma" xfId="1" builtinId="3"/>
    <cellStyle name="Comma 2" xfId="6"/>
    <cellStyle name="Comma 2 2" xfId="14"/>
    <cellStyle name="Comma 2 2 2" xfId="29"/>
    <cellStyle name="Comma 2 3" xfId="20"/>
    <cellStyle name="Comma 3" xfId="3"/>
    <cellStyle name="Comma 3 2" xfId="34"/>
    <cellStyle name="Comma 4" xfId="8"/>
    <cellStyle name="Comma 4 2" xfId="16"/>
    <cellStyle name="Comma 4 3" xfId="22"/>
    <cellStyle name="Comma 5" xfId="11"/>
    <cellStyle name="Comma 5 2" xfId="19"/>
    <cellStyle name="Comma 5 3" xfId="25"/>
    <cellStyle name="Comma 6" xfId="12"/>
    <cellStyle name="Comma 6 2" xfId="26"/>
    <cellStyle name="Comma 7" xfId="30"/>
    <cellStyle name="Comma 8" xfId="38"/>
    <cellStyle name="Excel Built-in Normal" xfId="5"/>
    <cellStyle name="Hyperlink" xfId="2" builtinId="8"/>
    <cellStyle name="Hyperlink 2" xfId="31"/>
    <cellStyle name="Normal" xfId="0" builtinId="0"/>
    <cellStyle name="Normal 2" xfId="7"/>
    <cellStyle name="Normal 2 2" xfId="15"/>
    <cellStyle name="Normal 2 3" xfId="21"/>
    <cellStyle name="Normal 2 3 2" xfId="28"/>
    <cellStyle name="Normal 3" xfId="9"/>
    <cellStyle name="Normal 3 2" xfId="17"/>
    <cellStyle name="Normal 3 3" xfId="23"/>
    <cellStyle name="Normal 4" xfId="10"/>
    <cellStyle name="Normal 4 2" xfId="18"/>
    <cellStyle name="Normal 4 3" xfId="24"/>
    <cellStyle name="Normal 5" xfId="13"/>
    <cellStyle name="Normal 5 2" xfId="27"/>
    <cellStyle name="Normal 6" xfId="32"/>
    <cellStyle name="Normal 7" xfId="37"/>
    <cellStyle name="Percent" xfId="4" builtinId="5"/>
    <cellStyle name="Percent 2" xfId="35"/>
    <cellStyle name="Percent 3" xfId="33"/>
    <cellStyle name="Percent 3 4" xfId="36"/>
    <cellStyle name="Percent 4" xfId="3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calcChain" Target="calcChain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391105</xdr:colOff>
      <xdr:row>0</xdr:row>
      <xdr:rowOff>147239</xdr:rowOff>
    </xdr:from>
    <xdr:to>
      <xdr:col>1</xdr:col>
      <xdr:colOff>346365</xdr:colOff>
      <xdr:row>2</xdr:row>
      <xdr:rowOff>86589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1105" y="147239"/>
          <a:ext cx="821169" cy="718668"/>
        </a:xfrm>
        <a:prstGeom prst="rect">
          <a:avLst/>
        </a:prstGeom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i_kh\huong_xl1\Congviec\Ta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99.204\tsi_data\My%20Drive\TSI\Du%20An\Nova%20Cam%20Ranh\BOQ\T&#243;m%20T&#7855;t%20Chung\thom\CT-BB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99.204\tsi_data\SanDiskSecureAccess\USB\USB\7.6.2021\KHDT\BG%20DU%20AN\WIFI%20HO%20TRAM\30062021\CAC%20FILE%20DANG%20DUNG\thom\CT-BB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99.204\tsi_data\SanDiskSecureAccess\USB\USB\7.6.2021\KHDT\BG%20DU%20AN\WIFI%20HO%20TRAM\30062021\CAC%20FILE%20DANG%20DUNG\My%20Documents\Di%20doi%20Dd%2015%20KV%20-%20NR.Ho%20Mac%20-%20Cty%20det%20Long%20A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99.204\tsi_data\SanDiskSecureAccess\USB\USB\7.6.2021\KHDT\BG%20DU%20AN\WIFI%20HO%20TRAM\30062021\CAC%20FILE%20DANG%20DUNG\thom\M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ong_kh\dung_chung\My%20Documents\TAMKY\tantt\tantt\tantt\BSQ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ong_kh\dung_chung\My%20Documents\tantt\tantt\tantt\BSQ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99.204\tsi_data\SanDiskSecureAccess\USB\USB\7.6.2021\KHDT\BG%20DU%20AN\WIFI%20HO%20TRAM\30062021\CAC%20FILE%20DANG%20DUNG\WINDOWS\Temporary%20Internet%20Files\OLK8342\KH%202004%20cac%20don%20vi%20phia%20Bac12312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is00\Quoc\KIET%20-%20QLKT\DU%20TOAN\CHIET%20TINH\Duong%20Day%20&amp;%20Tram\Cam\Thep%20Nguyen%20Minh\HIEN\TANHUNG\HTTANHU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99.204\tsi_data\SanDiskSecureAccess\USB\USB\7.6.2021\KHDT\BG%20DU%20AN\WIFI%20HO%20TRAM\30062021\CAC%20FILE%20DANG%20DUNG\thom\M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esario\c\My%20Documents\HSMAU\KHUTE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ong_kh\dung_chung\My%20Documents\CTNTTH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99.204\tsi_data\SanDiskSecureAccess\USB\USB\7.6.2021\KHDT\BG%20DU%20AN\WIFI%20HO%20TRAM\30062021\CAC%20FILE%20DANG%20DUNG\KH%202003\AFD\B-CAOQ~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99.204\tsi_data\DATA\Nhanvien\CUNGUNG02\Canhan\CUNGUNG02_MRMY\2024\1.%20B&#193;O%20GI&#193;%20D&#7920;%20&#193;N\4.%20GMS\2024.05.14_50.BG-TSI_hethong61camera_GM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ungung02\Documents\Zalo%20Received%20Files\2024.05.20_.BG-TSI_hethong127cam_SRR.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#REF"/>
      <sheetName val="gvl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  <sheetName val="THTD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itiet"/>
      <sheetName val="VC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itiet"/>
      <sheetName val="VC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"/>
      <sheetName val="VT-NC"/>
      <sheetName val="Tong Hop"/>
      <sheetName val="mau"/>
      <sheetName val="HOP DONG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00000000"/>
      <sheetName val="10000000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NGIA"/>
      <sheetName val="CHITIET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dg"/>
      <sheetName val="DU TOAN"/>
    </sheetNames>
    <sheetDataSet>
      <sheetData sheetId="0"/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dg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 A MB"/>
      <sheetName val="110KV"/>
      <sheetName val="Von-Dau tu "/>
      <sheetName val="CBKC-220"/>
      <sheetName val="TD 1"/>
      <sheetName val="TD Son La"/>
      <sheetName val="ND 1"/>
      <sheetName val="DLHN"/>
      <sheetName val="Sheet6"/>
      <sheetName val="DLHP"/>
      <sheetName val="VTDL"/>
      <sheetName val="TTDH"/>
      <sheetName val="CTDL 1"/>
      <sheetName val="TTD 1"/>
      <sheetName val="Sheet3"/>
      <sheetName val="NMTDHB"/>
      <sheetName val="Ban A HB"/>
      <sheetName val="NMNDPL"/>
      <sheetName val="NMDUBi"/>
      <sheetName val="NMDNBinh"/>
      <sheetName val="Sheet5"/>
      <sheetName val="Ao"/>
      <sheetName val="Sheet4"/>
      <sheetName val="Truong DTND"/>
      <sheetName val="Truong CDDL"/>
      <sheetName val="Truong THD3"/>
      <sheetName val="truong THD2"/>
      <sheetName val="Sheet2"/>
      <sheetName val="DL Ninh Binh"/>
      <sheetName val="Sheet1"/>
      <sheetName val="CBKC-110"/>
      <sheetName val="XXXXXXXX"/>
      <sheetName val="XL4Tes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NGKE-HT"/>
      <sheetName val="LKVL-CK-HT-GD1"/>
    </sheetNames>
    <sheetDataSet>
      <sheetData sheetId="0"/>
      <sheetData sheetId="1">
        <row r="4">
          <cell r="A4" t="str">
            <v>( GIAI ÑOAÏN 1 )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ITIET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ung ten TD"/>
      <sheetName val="khung ten LM7"/>
      <sheetName val="khung ten HC Q3"/>
      <sheetName val="khung ten HC HOAI NHON"/>
      <sheetName val="khung ten HC Hoa Khanh"/>
      <sheetName val="Khung ten TK"/>
      <sheetName val="thong ke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enluong"/>
      <sheetName val="CTdongia"/>
    </sheetNames>
    <sheetDataSet>
      <sheetData sheetId="0"/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-Q1,Q2,01"/>
      <sheetName val="BCCTQT-XLD4"/>
      <sheetName val="BCQT-TTD1"/>
      <sheetName val="CT-chuacoDT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k báo giá lớn (2)"/>
      <sheetName val="ptll 61 cam"/>
      <sheetName val="Sheet1"/>
      <sheetName val="vật tư phụ"/>
      <sheetName val="vtc"/>
    </sheetNames>
    <sheetDataSet>
      <sheetData sheetId="0"/>
      <sheetData sheetId="1">
        <row r="6">
          <cell r="B6" t="str">
            <v>Camera IP Dome 2MP HIKVISION DS-2CD2121G0-I</v>
          </cell>
          <cell r="C6" t="str">
            <v>Hikvison</v>
          </cell>
          <cell r="D6" t="str">
            <v>China</v>
          </cell>
          <cell r="E6" t="str">
            <v xml:space="preserve">Cái </v>
          </cell>
          <cell r="F6">
            <v>3</v>
          </cell>
          <cell r="G6">
            <v>1136363.6363636362</v>
          </cell>
          <cell r="H6">
            <v>3409090.9090909087</v>
          </cell>
          <cell r="J6">
            <v>0.20120000000000005</v>
          </cell>
          <cell r="K6">
            <v>1365000</v>
          </cell>
        </row>
        <row r="7">
          <cell r="B7" t="str">
            <v>Camera IP thân 2MP HIKVISION DS-2CD2021G1-I</v>
          </cell>
          <cell r="C7" t="str">
            <v>Hikvison</v>
          </cell>
          <cell r="D7" t="str">
            <v>China</v>
          </cell>
          <cell r="E7" t="str">
            <v>Cái</v>
          </cell>
          <cell r="F7">
            <v>58</v>
          </cell>
          <cell r="G7">
            <v>1136363.6363636362</v>
          </cell>
          <cell r="H7">
            <v>65909090.909090899</v>
          </cell>
          <cell r="J7">
            <v>0.22522400000000009</v>
          </cell>
          <cell r="K7">
            <v>1393000</v>
          </cell>
        </row>
        <row r="8">
          <cell r="B8" t="str">
            <v>Ổ Cứng 10T WESTERN</v>
          </cell>
          <cell r="E8" t="str">
            <v>Cái</v>
          </cell>
          <cell r="F8">
            <v>2</v>
          </cell>
          <cell r="G8">
            <v>6227272.7272727266</v>
          </cell>
          <cell r="H8">
            <v>12454545.454545453</v>
          </cell>
          <cell r="J8">
            <v>0.16300000000000001</v>
          </cell>
          <cell r="K8">
            <v>7243000</v>
          </cell>
        </row>
        <row r="9">
          <cell r="B9" t="str">
            <v>Đầu ghi hình Hikivision 32 kênh DS 7732NXI-K4</v>
          </cell>
          <cell r="C9" t="str">
            <v>Cisco</v>
          </cell>
          <cell r="D9" t="str">
            <v>China</v>
          </cell>
          <cell r="E9" t="str">
            <v>Cái</v>
          </cell>
          <cell r="F9">
            <v>2</v>
          </cell>
          <cell r="G9">
            <v>6863636.3636363633</v>
          </cell>
          <cell r="H9">
            <v>13727272.727272727</v>
          </cell>
          <cell r="J9">
            <v>0.25750000000000001</v>
          </cell>
          <cell r="K9">
            <v>8632000</v>
          </cell>
        </row>
        <row r="10">
          <cell r="B10" t="str">
            <v>Switch Cisco 8 Port CBS110-8T-EU</v>
          </cell>
          <cell r="C10" t="str">
            <v>WESTERN DIGITAL</v>
          </cell>
          <cell r="D10" t="str">
            <v>Thailand</v>
          </cell>
          <cell r="E10" t="str">
            <v xml:space="preserve">Cái </v>
          </cell>
          <cell r="F10">
            <v>3</v>
          </cell>
          <cell r="G10">
            <v>1100000</v>
          </cell>
          <cell r="H10">
            <v>3300000</v>
          </cell>
          <cell r="J10">
            <v>0.25</v>
          </cell>
          <cell r="K10">
            <v>1375000</v>
          </cell>
        </row>
        <row r="11">
          <cell r="B11" t="str">
            <v>Switch Hikvision POE 24 cổng DS-3E1326P-EI</v>
          </cell>
          <cell r="E11" t="str">
            <v xml:space="preserve">Cái </v>
          </cell>
          <cell r="F11">
            <v>2</v>
          </cell>
          <cell r="G11">
            <v>3900000</v>
          </cell>
          <cell r="H11">
            <v>7800000</v>
          </cell>
          <cell r="J11">
            <v>0.15</v>
          </cell>
          <cell r="K11">
            <v>4485000</v>
          </cell>
        </row>
        <row r="12">
          <cell r="B12" t="str">
            <v>Switch Hikvision POE 16 cổng DS-3E1318P-EI</v>
          </cell>
          <cell r="E12" t="str">
            <v xml:space="preserve">Cái </v>
          </cell>
          <cell r="F12">
            <v>2</v>
          </cell>
          <cell r="G12">
            <v>3330000</v>
          </cell>
          <cell r="H12">
            <v>6660000</v>
          </cell>
          <cell r="J12">
            <v>0.15</v>
          </cell>
          <cell r="K12">
            <v>3830000</v>
          </cell>
        </row>
        <row r="13">
          <cell r="B13" t="str">
            <v>Màn hình quan sát 43 inch</v>
          </cell>
          <cell r="E13" t="str">
            <v>Cái</v>
          </cell>
          <cell r="F13">
            <v>1</v>
          </cell>
          <cell r="G13">
            <v>6200000</v>
          </cell>
          <cell r="H13">
            <v>6200000</v>
          </cell>
          <cell r="J13">
            <v>0.28999999999999998</v>
          </cell>
          <cell r="K13">
            <v>7998000</v>
          </cell>
        </row>
        <row r="14">
          <cell r="B14" t="str">
            <v xml:space="preserve">Khung kệ tivi </v>
          </cell>
          <cell r="E14" t="str">
            <v>Cái</v>
          </cell>
          <cell r="F14">
            <v>1</v>
          </cell>
          <cell r="G14">
            <v>300000</v>
          </cell>
          <cell r="H14">
            <v>300000</v>
          </cell>
          <cell r="J14">
            <v>0.66</v>
          </cell>
          <cell r="K14">
            <v>498000</v>
          </cell>
        </row>
        <row r="15">
          <cell r="B15" t="str">
            <v>Cáp HDMI 10m</v>
          </cell>
          <cell r="E15" t="str">
            <v>Sợi</v>
          </cell>
          <cell r="F15">
            <v>2</v>
          </cell>
          <cell r="G15">
            <v>300000</v>
          </cell>
          <cell r="H15">
            <v>600000</v>
          </cell>
          <cell r="J15">
            <v>0.63</v>
          </cell>
          <cell r="K15">
            <v>489000</v>
          </cell>
        </row>
        <row r="16">
          <cell r="B16" t="str">
            <v>HẠNG MỤC TRUYỀN DẪN</v>
          </cell>
          <cell r="H16">
            <v>33686557.377049178</v>
          </cell>
          <cell r="J16">
            <v>0.34771860157284123</v>
          </cell>
        </row>
        <row r="17">
          <cell r="B17" t="str">
            <v>Cáp quang 4FO</v>
          </cell>
          <cell r="E17" t="str">
            <v>Mét</v>
          </cell>
          <cell r="F17">
            <v>200</v>
          </cell>
          <cell r="G17">
            <v>2300</v>
          </cell>
          <cell r="H17">
            <v>460000</v>
          </cell>
          <cell r="J17">
            <v>1</v>
          </cell>
          <cell r="K17">
            <v>5000</v>
          </cell>
        </row>
        <row r="18">
          <cell r="B18" t="str">
            <v>Cáp Mạng Cat6 AMP</v>
          </cell>
          <cell r="E18" t="str">
            <v>Mét</v>
          </cell>
          <cell r="F18">
            <v>3500</v>
          </cell>
          <cell r="G18">
            <v>8459.0163934426237</v>
          </cell>
          <cell r="H18">
            <v>29606557.377049182</v>
          </cell>
          <cell r="J18">
            <v>0.33</v>
          </cell>
          <cell r="K18">
            <v>11300</v>
          </cell>
        </row>
        <row r="19">
          <cell r="B19" t="str">
            <v>Converter A/B 1000M</v>
          </cell>
          <cell r="C19" t="str">
            <v>Cisco</v>
          </cell>
          <cell r="D19" t="str">
            <v>China</v>
          </cell>
          <cell r="E19" t="str">
            <v>Cặp</v>
          </cell>
          <cell r="F19">
            <v>1</v>
          </cell>
          <cell r="G19">
            <v>1000000</v>
          </cell>
          <cell r="H19">
            <v>1000000</v>
          </cell>
          <cell r="J19">
            <v>0.6</v>
          </cell>
          <cell r="K19">
            <v>1600000</v>
          </cell>
        </row>
        <row r="20">
          <cell r="B20" t="str">
            <v>Tủ Mạng Rack 4U</v>
          </cell>
          <cell r="E20" t="str">
            <v>Cái</v>
          </cell>
          <cell r="F20">
            <v>1</v>
          </cell>
          <cell r="G20">
            <v>620000</v>
          </cell>
          <cell r="H20">
            <v>620000</v>
          </cell>
          <cell r="J20">
            <v>0.16</v>
          </cell>
          <cell r="K20">
            <v>720000</v>
          </cell>
        </row>
        <row r="21">
          <cell r="B21" t="str">
            <v>Tủ Mạng Rack 6U</v>
          </cell>
          <cell r="E21" t="str">
            <v xml:space="preserve">Cái </v>
          </cell>
          <cell r="F21">
            <v>1</v>
          </cell>
          <cell r="G21">
            <v>700000</v>
          </cell>
          <cell r="H21">
            <v>700000</v>
          </cell>
          <cell r="J21">
            <v>0.45</v>
          </cell>
          <cell r="K21">
            <v>1015000</v>
          </cell>
        </row>
        <row r="22">
          <cell r="B22" t="str">
            <v>Tủ Mạng Rack 9U</v>
          </cell>
          <cell r="E22" t="str">
            <v xml:space="preserve">Cái </v>
          </cell>
          <cell r="F22">
            <v>1</v>
          </cell>
          <cell r="G22">
            <v>1300000</v>
          </cell>
          <cell r="H22">
            <v>1300000</v>
          </cell>
          <cell r="J22">
            <v>0.16500000000000001</v>
          </cell>
          <cell r="K22">
            <v>1515000</v>
          </cell>
        </row>
        <row r="23">
          <cell r="H23">
            <v>579000</v>
          </cell>
          <cell r="J23">
            <v>7.2538860103626937E-2</v>
          </cell>
        </row>
        <row r="24">
          <cell r="B24" t="str">
            <v xml:space="preserve">Dây điện 2x2.5mm </v>
          </cell>
          <cell r="E24" t="str">
            <v>Mét</v>
          </cell>
          <cell r="F24">
            <v>30</v>
          </cell>
          <cell r="G24">
            <v>19300</v>
          </cell>
          <cell r="H24">
            <v>579000</v>
          </cell>
          <cell r="J24">
            <v>7.0000000000000007E-2</v>
          </cell>
          <cell r="K24">
            <v>20700</v>
          </cell>
        </row>
        <row r="25">
          <cell r="H25">
            <v>6018181.8181818184</v>
          </cell>
          <cell r="J25">
            <v>0.15018126888217528</v>
          </cell>
        </row>
        <row r="26">
          <cell r="B26" t="str">
            <v>Nguồn lưu điện 650VA</v>
          </cell>
          <cell r="E26" t="str">
            <v xml:space="preserve">Cái </v>
          </cell>
          <cell r="F26">
            <v>2</v>
          </cell>
          <cell r="G26">
            <v>1018181.8181818181</v>
          </cell>
          <cell r="H26">
            <v>2036363.6363636362</v>
          </cell>
          <cell r="J26">
            <v>0.15</v>
          </cell>
          <cell r="K26">
            <v>1171000</v>
          </cell>
        </row>
        <row r="27">
          <cell r="B27" t="str">
            <v>Nguồn lưu điện 1000VA</v>
          </cell>
          <cell r="E27" t="str">
            <v xml:space="preserve">Cái </v>
          </cell>
          <cell r="F27">
            <v>1</v>
          </cell>
          <cell r="G27">
            <v>3981818.1818181816</v>
          </cell>
          <cell r="H27">
            <v>3981818.1818181816</v>
          </cell>
          <cell r="J27">
            <v>0.15</v>
          </cell>
          <cell r="K27">
            <v>4580000</v>
          </cell>
        </row>
        <row r="28">
          <cell r="H28">
            <v>13078666.666666666</v>
          </cell>
          <cell r="J28">
            <v>0.30013253134876139</v>
          </cell>
        </row>
        <row r="29">
          <cell r="B29" t="str">
            <v>Vật tư phụ</v>
          </cell>
          <cell r="E29" t="str">
            <v>Gói</v>
          </cell>
          <cell r="F29">
            <v>1</v>
          </cell>
          <cell r="G29">
            <v>7000000</v>
          </cell>
          <cell r="H29">
            <v>7000000</v>
          </cell>
          <cell r="J29">
            <v>0.35</v>
          </cell>
          <cell r="K29">
            <v>9450000</v>
          </cell>
        </row>
        <row r="30">
          <cell r="B30" t="str">
            <v>Ống điện Phi 20</v>
          </cell>
          <cell r="E30" t="str">
            <v>Mét</v>
          </cell>
          <cell r="F30">
            <v>800</v>
          </cell>
          <cell r="G30">
            <v>7333.333333333333</v>
          </cell>
          <cell r="H30">
            <v>5866666.666666666</v>
          </cell>
          <cell r="J30">
            <v>0.12</v>
          </cell>
          <cell r="K30">
            <v>9000</v>
          </cell>
        </row>
        <row r="31">
          <cell r="B31" t="str">
            <v>Ruột gà phi 20</v>
          </cell>
          <cell r="E31" t="str">
            <v>Mét</v>
          </cell>
          <cell r="F31">
            <v>50</v>
          </cell>
          <cell r="G31">
            <v>3000</v>
          </cell>
          <cell r="H31">
            <v>150000</v>
          </cell>
          <cell r="J31">
            <v>0.35</v>
          </cell>
          <cell r="K31">
            <v>5000</v>
          </cell>
        </row>
        <row r="32">
          <cell r="B32" t="str">
            <v>Dây nhảy quang SC 3m</v>
          </cell>
          <cell r="E32" t="str">
            <v xml:space="preserve">Cái </v>
          </cell>
          <cell r="F32">
            <v>2</v>
          </cell>
          <cell r="G32">
            <v>16000</v>
          </cell>
          <cell r="H32">
            <v>32000</v>
          </cell>
          <cell r="J32">
            <v>0.65</v>
          </cell>
          <cell r="K32">
            <v>27000</v>
          </cell>
        </row>
        <row r="33">
          <cell r="B33" t="str">
            <v xml:space="preserve">ODF mini 2FO </v>
          </cell>
          <cell r="E33" t="str">
            <v xml:space="preserve">Cái </v>
          </cell>
          <cell r="F33">
            <v>1</v>
          </cell>
          <cell r="G33">
            <v>30000</v>
          </cell>
          <cell r="H33">
            <v>30000</v>
          </cell>
          <cell r="J33">
            <v>0.65</v>
          </cell>
          <cell r="K33">
            <v>50000</v>
          </cell>
        </row>
        <row r="34">
          <cell r="H34">
            <v>40000000</v>
          </cell>
          <cell r="J34">
            <v>0.25</v>
          </cell>
        </row>
        <row r="35">
          <cell r="B35" t="str">
            <v>Nhân công</v>
          </cell>
          <cell r="E35" t="str">
            <v>Công</v>
          </cell>
          <cell r="F35">
            <v>80</v>
          </cell>
          <cell r="G35">
            <v>500000</v>
          </cell>
          <cell r="H35">
            <v>40000000</v>
          </cell>
          <cell r="J35">
            <v>0.25</v>
          </cell>
          <cell r="K35">
            <v>625000</v>
          </cell>
        </row>
      </sheetData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TLL (2)"/>
      <sheetName val="tóm tắt bao giá "/>
      <sheetName val="BOq"/>
      <sheetName val="nhân công"/>
    </sheetNames>
    <sheetDataSet>
      <sheetData sheetId="0"/>
      <sheetData sheetId="1"/>
      <sheetData sheetId="2"/>
      <sheetData sheetId="3">
        <row r="26">
          <cell r="B26" t="str">
            <v>Khung kệ tivi</v>
          </cell>
        </row>
        <row r="27">
          <cell r="B27" t="str">
            <v>Cáp HDMI 15m Unitek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ienmayhoanghai.vn/tivi-samsung/smart-tivi-samsung-4k-50-inch-50au7002-uhd-moi-202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38"/>
  <sheetViews>
    <sheetView zoomScale="85" zoomScaleNormal="85" workbookViewId="0">
      <pane ySplit="13" topLeftCell="A14" activePane="bottomLeft" state="frozen"/>
      <selection pane="bottomLeft" activeCell="O18" sqref="O18"/>
    </sheetView>
  </sheetViews>
  <sheetFormatPr defaultRowHeight="14.4" x14ac:dyDescent="0.3"/>
  <cols>
    <col min="2" max="2" width="11" style="415" customWidth="1"/>
    <col min="3" max="3" width="5.88671875" style="415" customWidth="1"/>
    <col min="4" max="4" width="12.88671875" style="415" customWidth="1"/>
    <col min="9" max="9" width="13.6640625" style="415" customWidth="1"/>
    <col min="10" max="10" width="13.88671875" style="415" customWidth="1"/>
    <col min="11" max="11" width="13.33203125" style="415" customWidth="1"/>
    <col min="12" max="12" width="11.109375" style="415" customWidth="1"/>
    <col min="14" max="14" width="16.88671875" style="415" customWidth="1"/>
    <col min="17" max="17" width="13.44140625" style="415" customWidth="1"/>
    <col min="18" max="18" width="12.6640625" style="415" customWidth="1"/>
    <col min="22" max="22" width="12" style="415" customWidth="1"/>
    <col min="23" max="23" width="14.109375" style="415" customWidth="1"/>
    <col min="24" max="24" width="12.33203125" style="415" customWidth="1"/>
  </cols>
  <sheetData>
    <row r="2" spans="2:18" x14ac:dyDescent="0.3">
      <c r="N2" s="404" t="s">
        <v>0</v>
      </c>
      <c r="O2">
        <f>L13+Y13</f>
        <v>0</v>
      </c>
      <c r="Q2" s="404" t="s">
        <v>1</v>
      </c>
      <c r="R2">
        <f>G13+U13</f>
        <v>0</v>
      </c>
    </row>
    <row r="3" spans="2:18" x14ac:dyDescent="0.3">
      <c r="N3" s="404" t="s">
        <v>2</v>
      </c>
      <c r="O3">
        <f>J13+W13</f>
        <v>0</v>
      </c>
      <c r="Q3" s="404" t="s">
        <v>3</v>
      </c>
      <c r="R3">
        <f>H13</f>
        <v>0</v>
      </c>
    </row>
    <row r="4" spans="2:18" x14ac:dyDescent="0.3">
      <c r="N4" s="404" t="s">
        <v>4</v>
      </c>
      <c r="O4">
        <f>K13+X13</f>
        <v>0</v>
      </c>
      <c r="Q4" s="404" t="s">
        <v>5</v>
      </c>
      <c r="R4">
        <f>C13+Q13</f>
        <v>0</v>
      </c>
    </row>
    <row r="5" spans="2:18" x14ac:dyDescent="0.3">
      <c r="N5" s="404" t="s">
        <v>6</v>
      </c>
      <c r="O5">
        <f>E13+S13</f>
        <v>0</v>
      </c>
      <c r="Q5" s="404" t="s">
        <v>7</v>
      </c>
      <c r="R5">
        <f>B13+P13</f>
        <v>0</v>
      </c>
    </row>
    <row r="6" spans="2:18" x14ac:dyDescent="0.3">
      <c r="N6" s="404" t="s">
        <v>8</v>
      </c>
      <c r="O6">
        <f>F13+T13</f>
        <v>0</v>
      </c>
      <c r="Q6" s="404" t="s">
        <v>9</v>
      </c>
      <c r="R6">
        <f>D13+R13</f>
        <v>0</v>
      </c>
    </row>
    <row r="7" spans="2:18" x14ac:dyDescent="0.3">
      <c r="Q7" s="404" t="s">
        <v>10</v>
      </c>
      <c r="R7">
        <f>SUM(J14,W14)</f>
        <v>0</v>
      </c>
    </row>
    <row r="9" spans="2:18" x14ac:dyDescent="0.3">
      <c r="B9" s="429" t="s">
        <v>11</v>
      </c>
      <c r="C9" s="430"/>
      <c r="D9" s="430"/>
      <c r="E9" s="430"/>
      <c r="F9" s="430"/>
      <c r="G9" s="430"/>
      <c r="H9" s="430"/>
      <c r="I9" s="430"/>
      <c r="J9" s="430"/>
      <c r="K9" s="430"/>
      <c r="L9" s="430"/>
      <c r="M9" s="430"/>
      <c r="N9" s="430"/>
    </row>
    <row r="10" spans="2:18" x14ac:dyDescent="0.3">
      <c r="B10" s="339"/>
      <c r="C10" s="339"/>
      <c r="D10" s="339"/>
      <c r="E10" s="339"/>
      <c r="F10" s="339"/>
      <c r="G10" s="339"/>
      <c r="H10" s="339"/>
      <c r="I10" s="339"/>
      <c r="J10" s="339"/>
      <c r="K10" s="339"/>
      <c r="L10" s="339"/>
      <c r="M10" s="339"/>
      <c r="N10" s="339"/>
    </row>
    <row r="11" spans="2:18" x14ac:dyDescent="0.3">
      <c r="B11" s="338"/>
      <c r="C11" s="338"/>
      <c r="D11" s="338"/>
      <c r="E11" s="338"/>
      <c r="F11" s="338" t="s">
        <v>12</v>
      </c>
      <c r="G11" s="338"/>
      <c r="H11" s="338"/>
      <c r="I11" s="338"/>
      <c r="J11" s="401"/>
      <c r="K11" s="401"/>
      <c r="L11" s="401"/>
      <c r="M11" s="401"/>
      <c r="N11" s="401"/>
    </row>
    <row r="12" spans="2:18" x14ac:dyDescent="0.3">
      <c r="B12" s="402" t="s">
        <v>7</v>
      </c>
      <c r="C12" s="402" t="s">
        <v>5</v>
      </c>
      <c r="D12" s="402" t="s">
        <v>13</v>
      </c>
      <c r="E12" s="402" t="s">
        <v>14</v>
      </c>
      <c r="F12" s="402" t="s">
        <v>15</v>
      </c>
      <c r="G12" s="402" t="s">
        <v>16</v>
      </c>
      <c r="H12" s="402" t="s">
        <v>17</v>
      </c>
      <c r="I12" s="402" t="s">
        <v>18</v>
      </c>
      <c r="J12" s="403" t="s">
        <v>19</v>
      </c>
      <c r="K12" s="403" t="s">
        <v>20</v>
      </c>
      <c r="L12" s="403" t="s">
        <v>21</v>
      </c>
      <c r="M12" s="403" t="s">
        <v>22</v>
      </c>
      <c r="N12" s="403" t="s">
        <v>23</v>
      </c>
    </row>
    <row r="13" spans="2:18" x14ac:dyDescent="0.3">
      <c r="B13" s="390">
        <f t="shared" ref="B13:K13" si="0">SUM(B14:B52)</f>
        <v>0</v>
      </c>
      <c r="C13" s="390">
        <f t="shared" si="0"/>
        <v>0</v>
      </c>
      <c r="D13" s="390">
        <f t="shared" si="0"/>
        <v>0</v>
      </c>
      <c r="E13" s="390">
        <f t="shared" si="0"/>
        <v>0</v>
      </c>
      <c r="F13" s="390">
        <f t="shared" si="0"/>
        <v>0</v>
      </c>
      <c r="G13" s="390">
        <f t="shared" si="0"/>
        <v>0</v>
      </c>
      <c r="H13" s="390">
        <f t="shared" si="0"/>
        <v>0</v>
      </c>
      <c r="I13" s="390">
        <f t="shared" si="0"/>
        <v>0</v>
      </c>
      <c r="J13" s="390">
        <f t="shared" si="0"/>
        <v>0</v>
      </c>
      <c r="K13" s="390">
        <f t="shared" si="0"/>
        <v>0</v>
      </c>
      <c r="L13" s="390">
        <f>J13+K13</f>
        <v>0</v>
      </c>
      <c r="M13" s="390"/>
      <c r="N13" s="390">
        <f>'tính cáp'!J44</f>
        <v>0</v>
      </c>
    </row>
    <row r="14" spans="2:18" x14ac:dyDescent="0.3"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</row>
    <row r="38" ht="15.75" customHeight="1" x14ac:dyDescent="0.3"/>
  </sheetData>
  <mergeCells count="1">
    <mergeCell ref="B9:N9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71"/>
  <sheetViews>
    <sheetView zoomScale="40" zoomScaleNormal="40" zoomScaleSheetLayoutView="55" workbookViewId="0">
      <selection activeCell="E5" sqref="E5"/>
    </sheetView>
  </sheetViews>
  <sheetFormatPr defaultRowHeight="14.4" x14ac:dyDescent="0.3"/>
  <cols>
    <col min="1" max="1" width="12.88671875" style="415" customWidth="1"/>
    <col min="2" max="2" width="43.6640625" style="415" customWidth="1"/>
    <col min="3" max="3" width="90" style="415" customWidth="1"/>
    <col min="4" max="4" width="18.5546875" style="415" customWidth="1"/>
    <col min="5" max="5" width="22.5546875" style="415" customWidth="1"/>
    <col min="6" max="6" width="25.88671875" style="415" customWidth="1"/>
    <col min="7" max="7" width="25.44140625" style="415" customWidth="1"/>
    <col min="8" max="8" width="57.6640625" style="415" customWidth="1"/>
  </cols>
  <sheetData>
    <row r="2" spans="1:8" ht="46.2" customHeight="1" x14ac:dyDescent="0.3">
      <c r="A2" s="442" t="s">
        <v>24</v>
      </c>
      <c r="B2" s="430"/>
      <c r="C2" s="430"/>
      <c r="D2" s="430"/>
      <c r="E2" s="430"/>
      <c r="F2" s="430"/>
      <c r="G2" s="430"/>
      <c r="H2" s="430"/>
    </row>
    <row r="3" spans="1:8" ht="46.2" customHeight="1" x14ac:dyDescent="0.3">
      <c r="A3" s="416"/>
      <c r="B3" s="416"/>
      <c r="C3" s="416"/>
      <c r="D3" s="443" t="s">
        <v>25</v>
      </c>
      <c r="E3" s="430"/>
      <c r="F3" s="430"/>
      <c r="G3" s="430"/>
      <c r="H3" s="430"/>
    </row>
    <row r="4" spans="1:8" ht="32.4" customHeight="1" x14ac:dyDescent="0.3">
      <c r="A4" s="16"/>
      <c r="B4" s="16"/>
      <c r="C4" s="16"/>
      <c r="D4" s="16"/>
      <c r="E4" s="17"/>
      <c r="F4" s="368"/>
      <c r="G4" s="17"/>
      <c r="H4" s="18"/>
    </row>
    <row r="5" spans="1:8" ht="32.4" customHeight="1" x14ac:dyDescent="0.3">
      <c r="A5" s="16"/>
      <c r="B5" s="16"/>
      <c r="C5" s="16"/>
      <c r="D5" s="16"/>
      <c r="E5" s="17"/>
      <c r="F5" s="368"/>
      <c r="G5" s="17"/>
      <c r="H5" s="18"/>
    </row>
    <row r="6" spans="1:8" ht="32.4" customHeight="1" x14ac:dyDescent="0.3">
      <c r="A6" s="393"/>
      <c r="B6" s="446" t="s">
        <v>26</v>
      </c>
      <c r="C6" s="447"/>
      <c r="D6" s="393"/>
      <c r="E6" s="394"/>
      <c r="F6" s="395"/>
      <c r="G6" s="394"/>
      <c r="H6" s="396"/>
    </row>
    <row r="7" spans="1:8" ht="63.6" customHeight="1" x14ac:dyDescent="0.3">
      <c r="A7" s="19" t="s">
        <v>27</v>
      </c>
      <c r="B7" s="336" t="s">
        <v>28</v>
      </c>
      <c r="C7" s="336" t="s">
        <v>29</v>
      </c>
      <c r="D7" s="336" t="s">
        <v>30</v>
      </c>
      <c r="E7" s="336" t="s">
        <v>31</v>
      </c>
      <c r="F7" s="369" t="s">
        <v>32</v>
      </c>
      <c r="G7" s="369" t="s">
        <v>33</v>
      </c>
      <c r="H7" s="20" t="s">
        <v>34</v>
      </c>
    </row>
    <row r="8" spans="1:8" ht="54.75" customHeight="1" x14ac:dyDescent="0.3">
      <c r="A8" s="419" t="s">
        <v>35</v>
      </c>
      <c r="B8" s="21"/>
      <c r="C8" s="370"/>
      <c r="D8" s="370"/>
      <c r="E8" s="370"/>
      <c r="F8" s="370"/>
      <c r="G8" s="370"/>
      <c r="H8" s="22"/>
    </row>
    <row r="9" spans="1:8" ht="237.75" customHeight="1" x14ac:dyDescent="0.3">
      <c r="A9" s="360">
        <f>_xlfn.AGGREGATE(3,3,$B$9:B9)</f>
        <v>1</v>
      </c>
      <c r="B9" s="417" t="s">
        <v>36</v>
      </c>
      <c r="C9" s="329" t="s">
        <v>37</v>
      </c>
      <c r="D9" s="360" t="s">
        <v>38</v>
      </c>
      <c r="E9" s="361"/>
      <c r="F9" s="366">
        <v>8.5000000000000006E-2</v>
      </c>
      <c r="G9" s="365"/>
      <c r="H9" s="330"/>
    </row>
    <row r="10" spans="1:8" ht="273.75" customHeight="1" x14ac:dyDescent="0.3">
      <c r="A10" s="360">
        <f>_xlfn.AGGREGATE(3,3,$B$9:B10)</f>
        <v>2</v>
      </c>
      <c r="B10" s="417" t="s">
        <v>39</v>
      </c>
      <c r="C10" s="329" t="s">
        <v>40</v>
      </c>
      <c r="D10" s="360" t="s">
        <v>38</v>
      </c>
      <c r="E10" s="361"/>
      <c r="F10" s="366">
        <v>8.5000000000000006E-2</v>
      </c>
      <c r="G10" s="365"/>
      <c r="H10" s="330"/>
    </row>
    <row r="11" spans="1:8" ht="259.5" customHeight="1" x14ac:dyDescent="0.3">
      <c r="A11" s="360">
        <f>_xlfn.AGGREGATE(3,3,$B$9:B11)</f>
        <v>3</v>
      </c>
      <c r="B11" s="417" t="s">
        <v>41</v>
      </c>
      <c r="C11" s="330" t="s">
        <v>42</v>
      </c>
      <c r="D11" s="360" t="s">
        <v>38</v>
      </c>
      <c r="E11" s="361"/>
      <c r="F11" s="366">
        <v>0.12</v>
      </c>
      <c r="G11" s="365"/>
      <c r="H11" s="362"/>
    </row>
    <row r="12" spans="1:8" ht="263.25" customHeight="1" x14ac:dyDescent="0.3">
      <c r="A12" s="360">
        <f>_xlfn.AGGREGATE(3,3,$B$9:B12)</f>
        <v>4</v>
      </c>
      <c r="B12" s="417" t="s">
        <v>43</v>
      </c>
      <c r="C12" s="330" t="s">
        <v>44</v>
      </c>
      <c r="D12" s="360" t="s">
        <v>38</v>
      </c>
      <c r="E12" s="361"/>
      <c r="F12" s="366">
        <v>0.12</v>
      </c>
      <c r="G12" s="365"/>
      <c r="H12" s="362"/>
    </row>
    <row r="13" spans="1:8" ht="122.4" customHeight="1" x14ac:dyDescent="0.3">
      <c r="A13" s="360">
        <f>_xlfn.AGGREGATE(3,3,$B$9:B13)</f>
        <v>5</v>
      </c>
      <c r="B13" s="417" t="s">
        <v>45</v>
      </c>
      <c r="C13" s="330" t="s">
        <v>46</v>
      </c>
      <c r="D13" s="360" t="s">
        <v>38</v>
      </c>
      <c r="E13" s="361"/>
      <c r="F13" s="366">
        <v>0.2</v>
      </c>
      <c r="G13" s="365"/>
      <c r="H13" s="330"/>
    </row>
    <row r="14" spans="1:8" ht="232.5" customHeight="1" x14ac:dyDescent="0.3">
      <c r="A14" s="360">
        <f>_xlfn.AGGREGATE(3,3,$B$9:B14)</f>
        <v>6</v>
      </c>
      <c r="B14" s="417" t="s">
        <v>47</v>
      </c>
      <c r="C14" s="332" t="s">
        <v>48</v>
      </c>
      <c r="D14" s="360" t="s">
        <v>38</v>
      </c>
      <c r="E14" s="361"/>
      <c r="F14" s="366">
        <v>0.18</v>
      </c>
      <c r="G14" s="365"/>
      <c r="H14" s="362"/>
    </row>
    <row r="15" spans="1:8" ht="238.5" customHeight="1" x14ac:dyDescent="0.3">
      <c r="A15" s="360">
        <f>_xlfn.AGGREGATE(3,3,$B$9:B15)</f>
        <v>7</v>
      </c>
      <c r="B15" s="417" t="s">
        <v>49</v>
      </c>
      <c r="C15" s="331" t="s">
        <v>50</v>
      </c>
      <c r="D15" s="360" t="s">
        <v>38</v>
      </c>
      <c r="E15" s="361"/>
      <c r="F15" s="366">
        <v>0.18</v>
      </c>
      <c r="G15" s="365"/>
      <c r="H15" s="362"/>
    </row>
    <row r="16" spans="1:8" ht="96.6" customHeight="1" x14ac:dyDescent="0.3">
      <c r="A16" s="360">
        <f>_xlfn.AGGREGATE(3,3,$B$9:B16)</f>
        <v>8</v>
      </c>
      <c r="B16" s="417" t="s">
        <v>51</v>
      </c>
      <c r="C16" s="331" t="s">
        <v>52</v>
      </c>
      <c r="D16" s="360" t="s">
        <v>38</v>
      </c>
      <c r="E16" s="361"/>
      <c r="F16" s="366">
        <v>0.18</v>
      </c>
      <c r="G16" s="365"/>
      <c r="H16" s="338"/>
    </row>
    <row r="17" spans="1:8" ht="96.6" customHeight="1" x14ac:dyDescent="0.3">
      <c r="A17" s="406"/>
      <c r="B17" s="417" t="s">
        <v>53</v>
      </c>
      <c r="C17" s="407"/>
      <c r="D17" s="360" t="s">
        <v>38</v>
      </c>
      <c r="E17" s="408"/>
      <c r="F17" s="366">
        <v>0.18</v>
      </c>
      <c r="G17" s="410"/>
      <c r="H17" s="412"/>
    </row>
    <row r="18" spans="1:8" ht="178.5" customHeight="1" x14ac:dyDescent="0.3">
      <c r="A18" s="360">
        <f>_xlfn.AGGREGATE(3,3,$B$9:B18)</f>
        <v>10</v>
      </c>
      <c r="B18" s="417" t="s">
        <v>54</v>
      </c>
      <c r="C18" s="331" t="s">
        <v>55</v>
      </c>
      <c r="D18" s="360" t="s">
        <v>56</v>
      </c>
      <c r="E18" s="361"/>
      <c r="F18" s="366">
        <v>0.34</v>
      </c>
      <c r="G18" s="365"/>
      <c r="H18" s="338"/>
    </row>
    <row r="19" spans="1:8" ht="48" hidden="1" customHeight="1" x14ac:dyDescent="0.3">
      <c r="A19" s="326">
        <v>8.1</v>
      </c>
      <c r="B19" s="440" t="str">
        <f>'PTLL (2)'!B12</f>
        <v>Màn hình quan sát SamSung 43inch</v>
      </c>
      <c r="C19" s="441"/>
      <c r="D19" s="326" t="str">
        <f>VLOOKUP(B19,'PTLL (2)'!$B$5:$J$42,2,0)</f>
        <v>Cái</v>
      </c>
      <c r="E19" s="327"/>
      <c r="F19" s="371"/>
      <c r="G19" s="365"/>
      <c r="H19" s="328"/>
    </row>
    <row r="20" spans="1:8" ht="48" hidden="1" customHeight="1" x14ac:dyDescent="0.3">
      <c r="A20" s="23">
        <v>8.1999999999999993</v>
      </c>
      <c r="B20" s="49" t="str">
        <f>'PTLL (2)'!B13</f>
        <v>Khung kệ tivi</v>
      </c>
      <c r="C20" s="50"/>
      <c r="D20" s="23" t="str">
        <f>VLOOKUP(B20,'PTLL (2)'!$B$5:$J$42,2,0)</f>
        <v>Cái</v>
      </c>
      <c r="E20" s="46"/>
      <c r="F20" s="372"/>
      <c r="G20" s="365"/>
      <c r="H20" s="24"/>
    </row>
    <row r="21" spans="1:8" ht="48" hidden="1" customHeight="1" x14ac:dyDescent="0.3">
      <c r="A21" s="47">
        <v>8.3000000000000007</v>
      </c>
      <c r="B21" s="53" t="str">
        <f>'PTLL (2)'!B14</f>
        <v>Cáp HDMI 15m Unitek</v>
      </c>
      <c r="C21" s="51"/>
      <c r="D21" s="47" t="str">
        <f>VLOOKUP(B21,'PTLL (2)'!$B$5:$J$42,2,0)</f>
        <v xml:space="preserve">Sợi </v>
      </c>
      <c r="E21" s="48"/>
      <c r="F21" s="373"/>
      <c r="G21" s="365"/>
      <c r="H21" s="52"/>
    </row>
    <row r="22" spans="1:8" ht="51" customHeight="1" x14ac:dyDescent="0.3">
      <c r="A22" s="25" t="s">
        <v>57</v>
      </c>
      <c r="B22" s="25"/>
      <c r="C22" s="26"/>
      <c r="D22" s="26"/>
      <c r="E22" s="374"/>
      <c r="F22" s="374"/>
      <c r="G22" s="374"/>
      <c r="H22" s="27"/>
    </row>
    <row r="23" spans="1:8" ht="136.5" customHeight="1" x14ac:dyDescent="0.3">
      <c r="A23" s="360">
        <v>1</v>
      </c>
      <c r="B23" s="385" t="s">
        <v>58</v>
      </c>
      <c r="C23" s="386" t="s">
        <v>59</v>
      </c>
      <c r="D23" s="360" t="s">
        <v>60</v>
      </c>
      <c r="E23" s="405"/>
      <c r="F23" s="366">
        <v>7.0000000000000001E-3</v>
      </c>
      <c r="G23" s="365"/>
      <c r="H23" s="335"/>
    </row>
    <row r="24" spans="1:8" ht="72.75" hidden="1" customHeight="1" x14ac:dyDescent="0.3">
      <c r="A24" s="360">
        <v>2</v>
      </c>
      <c r="B24" s="385" t="s">
        <v>61</v>
      </c>
      <c r="C24" s="386" t="s">
        <v>62</v>
      </c>
      <c r="D24" s="360" t="s">
        <v>60</v>
      </c>
      <c r="E24" s="405"/>
      <c r="F24" s="366">
        <v>0.01</v>
      </c>
      <c r="G24" s="365">
        <f>F24*E24</f>
        <v>0</v>
      </c>
      <c r="H24" s="362" t="s">
        <v>63</v>
      </c>
    </row>
    <row r="25" spans="1:8" ht="72.75" customHeight="1" x14ac:dyDescent="0.3">
      <c r="A25" s="360">
        <v>3</v>
      </c>
      <c r="B25" s="385" t="s">
        <v>61</v>
      </c>
      <c r="C25" s="386" t="s">
        <v>64</v>
      </c>
      <c r="D25" s="360" t="s">
        <v>60</v>
      </c>
      <c r="E25" s="405"/>
      <c r="F25" s="366">
        <v>0.01</v>
      </c>
      <c r="G25" s="365"/>
      <c r="H25" s="362" t="s">
        <v>63</v>
      </c>
    </row>
    <row r="26" spans="1:8" ht="213.75" customHeight="1" x14ac:dyDescent="0.3">
      <c r="A26" s="360">
        <v>4</v>
      </c>
      <c r="B26" s="385" t="s">
        <v>65</v>
      </c>
      <c r="C26" s="386" t="s">
        <v>66</v>
      </c>
      <c r="D26" s="360" t="s">
        <v>56</v>
      </c>
      <c r="E26" s="361"/>
      <c r="F26" s="366">
        <v>1.7999999999999999E-2</v>
      </c>
      <c r="G26" s="365"/>
      <c r="H26" s="362"/>
    </row>
    <row r="27" spans="1:8" ht="242.25" customHeight="1" x14ac:dyDescent="0.3">
      <c r="A27" s="360">
        <v>5</v>
      </c>
      <c r="B27" s="385" t="s">
        <v>67</v>
      </c>
      <c r="C27" s="386" t="s">
        <v>68</v>
      </c>
      <c r="D27" s="360" t="s">
        <v>56</v>
      </c>
      <c r="E27" s="361"/>
      <c r="F27" s="366">
        <v>0.18</v>
      </c>
      <c r="G27" s="365"/>
      <c r="H27" s="362"/>
    </row>
    <row r="28" spans="1:8" ht="142.5" customHeight="1" x14ac:dyDescent="0.3">
      <c r="A28" s="360">
        <v>6</v>
      </c>
      <c r="B28" s="385" t="s">
        <v>69</v>
      </c>
      <c r="C28" s="386" t="s">
        <v>70</v>
      </c>
      <c r="D28" s="360" t="s">
        <v>56</v>
      </c>
      <c r="E28" s="361"/>
      <c r="F28" s="366">
        <v>0.76500000000000001</v>
      </c>
      <c r="G28" s="365"/>
      <c r="H28" s="362"/>
    </row>
    <row r="29" spans="1:8" ht="147.75" customHeight="1" x14ac:dyDescent="0.3">
      <c r="A29" s="360">
        <v>7</v>
      </c>
      <c r="B29" s="385" t="s">
        <v>71</v>
      </c>
      <c r="C29" s="386" t="s">
        <v>72</v>
      </c>
      <c r="D29" s="360" t="s">
        <v>56</v>
      </c>
      <c r="E29" s="361"/>
      <c r="F29" s="366">
        <v>0.76500000000000001</v>
      </c>
      <c r="G29" s="365"/>
      <c r="H29" s="362"/>
    </row>
    <row r="30" spans="1:8" ht="126" customHeight="1" x14ac:dyDescent="0.3">
      <c r="A30" s="360">
        <v>8</v>
      </c>
      <c r="B30" s="385" t="s">
        <v>73</v>
      </c>
      <c r="C30" s="384" t="s">
        <v>74</v>
      </c>
      <c r="D30" s="360" t="s">
        <v>56</v>
      </c>
      <c r="E30" s="361"/>
      <c r="F30" s="366">
        <v>0.76500000000000001</v>
      </c>
      <c r="G30" s="365"/>
      <c r="H30" s="362"/>
    </row>
    <row r="31" spans="1:8" ht="187.5" hidden="1" customHeight="1" x14ac:dyDescent="0.3">
      <c r="A31" s="360">
        <v>9</v>
      </c>
      <c r="B31" s="385" t="s">
        <v>75</v>
      </c>
      <c r="C31" s="384"/>
      <c r="D31" s="360" t="s">
        <v>56</v>
      </c>
      <c r="E31" s="361"/>
      <c r="F31" s="366">
        <v>2</v>
      </c>
      <c r="G31" s="365"/>
      <c r="H31" s="362"/>
    </row>
    <row r="32" spans="1:8" ht="187.5" customHeight="1" x14ac:dyDescent="0.3">
      <c r="A32" s="406"/>
      <c r="B32" s="385" t="s">
        <v>75</v>
      </c>
      <c r="C32" s="413"/>
      <c r="D32" s="360" t="s">
        <v>56</v>
      </c>
      <c r="E32" s="408"/>
      <c r="F32" s="366">
        <v>2</v>
      </c>
      <c r="G32" s="410"/>
      <c r="H32" s="411"/>
    </row>
    <row r="33" spans="1:8" ht="194.25" customHeight="1" x14ac:dyDescent="0.3">
      <c r="A33" s="360">
        <v>10</v>
      </c>
      <c r="B33" s="385" t="str">
        <f>'PTLL (2)'!B21</f>
        <v>Tủ mạng rack 42U</v>
      </c>
      <c r="C33" s="386" t="s">
        <v>76</v>
      </c>
      <c r="D33" s="360" t="str">
        <f>VLOOKUP(B33,'PTLL (2)'!$B$5:$J$42,2,0)</f>
        <v>Cái</v>
      </c>
      <c r="E33" s="361"/>
      <c r="F33" s="366">
        <v>2</v>
      </c>
      <c r="G33" s="365"/>
      <c r="H33" s="362"/>
    </row>
    <row r="34" spans="1:8" ht="194.25" customHeight="1" x14ac:dyDescent="0.3">
      <c r="A34" s="406"/>
      <c r="B34" s="385" t="s">
        <v>77</v>
      </c>
      <c r="C34" s="414"/>
      <c r="D34" s="360" t="s">
        <v>38</v>
      </c>
      <c r="E34" s="408"/>
      <c r="F34" s="409">
        <v>1</v>
      </c>
      <c r="G34" s="410"/>
      <c r="H34" s="411"/>
    </row>
    <row r="35" spans="1:8" ht="220.5" customHeight="1" x14ac:dyDescent="0.3">
      <c r="A35" s="360">
        <v>11</v>
      </c>
      <c r="B35" s="385" t="s">
        <v>78</v>
      </c>
      <c r="C35" s="386" t="s">
        <v>79</v>
      </c>
      <c r="D35" s="360" t="s">
        <v>38</v>
      </c>
      <c r="E35" s="361"/>
      <c r="F35" s="366">
        <v>1</v>
      </c>
      <c r="G35" s="365"/>
      <c r="H35" s="362"/>
    </row>
    <row r="36" spans="1:8" ht="51" customHeight="1" x14ac:dyDescent="0.3">
      <c r="A36" s="419" t="s">
        <v>80</v>
      </c>
      <c r="B36" s="28"/>
      <c r="C36" s="29"/>
      <c r="D36" s="28"/>
      <c r="E36" s="355"/>
      <c r="F36" s="375"/>
      <c r="G36" s="355"/>
      <c r="H36" s="30"/>
    </row>
    <row r="37" spans="1:8" ht="113.25" customHeight="1" x14ac:dyDescent="0.3">
      <c r="A37" s="360">
        <v>1</v>
      </c>
      <c r="B37" s="333" t="str">
        <f>'PTLL (2)'!B24</f>
        <v>Dây điện CVV 2x2.5</v>
      </c>
      <c r="C37" s="330" t="s">
        <v>81</v>
      </c>
      <c r="D37" s="360" t="str">
        <f>VLOOKUP(B37,'PTLL (2)'!$B$5:$J$42,2,0)</f>
        <v xml:space="preserve">Mét </v>
      </c>
      <c r="E37" s="405"/>
      <c r="F37" s="366">
        <v>0.01</v>
      </c>
      <c r="G37" s="365"/>
      <c r="H37" s="392" t="s">
        <v>82</v>
      </c>
    </row>
    <row r="38" spans="1:8" ht="134.25" customHeight="1" x14ac:dyDescent="0.3">
      <c r="A38" s="360">
        <v>2</v>
      </c>
      <c r="B38" s="417" t="s">
        <v>83</v>
      </c>
      <c r="C38" s="391" t="s">
        <v>84</v>
      </c>
      <c r="D38" s="360" t="str">
        <f>VLOOKUP(B38,'PTLL (2)'!$B$5:$J$42,2,0)</f>
        <v>Cái</v>
      </c>
      <c r="E38" s="361"/>
      <c r="F38" s="366">
        <v>0.04</v>
      </c>
      <c r="G38" s="365"/>
      <c r="H38" s="334"/>
    </row>
    <row r="39" spans="1:8" ht="64.5" customHeight="1" x14ac:dyDescent="0.3">
      <c r="A39" s="419" t="s">
        <v>85</v>
      </c>
      <c r="B39" s="28"/>
      <c r="C39" s="29"/>
      <c r="D39" s="28"/>
      <c r="E39" s="355"/>
      <c r="F39" s="375"/>
      <c r="G39" s="375"/>
      <c r="H39" s="30"/>
    </row>
    <row r="40" spans="1:8" ht="165.75" customHeight="1" x14ac:dyDescent="0.3">
      <c r="A40" s="360">
        <v>1</v>
      </c>
      <c r="B40" s="417" t="s">
        <v>86</v>
      </c>
      <c r="C40" s="330" t="s">
        <v>87</v>
      </c>
      <c r="D40" s="360" t="s">
        <v>56</v>
      </c>
      <c r="E40" s="361"/>
      <c r="F40" s="366">
        <v>0.245</v>
      </c>
      <c r="G40" s="365"/>
      <c r="H40" s="362"/>
    </row>
    <row r="41" spans="1:8" ht="153" customHeight="1" x14ac:dyDescent="0.3">
      <c r="A41" s="360">
        <v>2</v>
      </c>
      <c r="B41" s="417" t="s">
        <v>88</v>
      </c>
      <c r="C41" s="330" t="s">
        <v>89</v>
      </c>
      <c r="D41" s="360" t="s">
        <v>56</v>
      </c>
      <c r="E41" s="361"/>
      <c r="F41" s="366">
        <v>0.245</v>
      </c>
      <c r="G41" s="365"/>
      <c r="H41" s="362"/>
    </row>
    <row r="42" spans="1:8" ht="51" customHeight="1" x14ac:dyDescent="0.3">
      <c r="A42" s="419" t="s">
        <v>90</v>
      </c>
      <c r="B42" s="28"/>
      <c r="C42" s="29"/>
      <c r="D42" s="28"/>
      <c r="E42" s="355"/>
      <c r="F42" s="375"/>
      <c r="G42" s="355"/>
      <c r="H42" s="30"/>
    </row>
    <row r="43" spans="1:8" ht="73.5" customHeight="1" x14ac:dyDescent="0.3">
      <c r="A43" s="357">
        <v>1</v>
      </c>
      <c r="B43" s="358" t="str">
        <f>'[14]ptll 61 cam'!B29</f>
        <v>Vật tư phụ</v>
      </c>
      <c r="C43" s="359" t="s">
        <v>91</v>
      </c>
      <c r="D43" s="352" t="str">
        <f>VLOOKUP(B43,'[14]ptll 61 cam'!$B$6:$K$35,4,0)</f>
        <v>Gói</v>
      </c>
      <c r="E43" s="353"/>
      <c r="F43" s="376"/>
      <c r="G43" s="364"/>
      <c r="H43" s="363" t="s">
        <v>92</v>
      </c>
    </row>
    <row r="44" spans="1:8" ht="51" customHeight="1" x14ac:dyDescent="0.3">
      <c r="A44" s="392" t="s">
        <v>93</v>
      </c>
      <c r="B44" s="417" t="s">
        <v>94</v>
      </c>
      <c r="C44" s="391"/>
      <c r="D44" s="360" t="s">
        <v>95</v>
      </c>
      <c r="E44" s="361"/>
      <c r="F44" s="366"/>
      <c r="G44" s="361"/>
      <c r="H44" s="362"/>
    </row>
    <row r="45" spans="1:8" ht="66" customHeight="1" x14ac:dyDescent="0.3">
      <c r="A45" s="392"/>
      <c r="B45" s="431" t="s">
        <v>96</v>
      </c>
      <c r="C45" s="432"/>
      <c r="D45" s="360" t="s">
        <v>38</v>
      </c>
      <c r="E45" s="361"/>
      <c r="F45" s="366">
        <v>2.6700000000000002E-2</v>
      </c>
      <c r="G45" s="365"/>
      <c r="H45" s="362"/>
    </row>
    <row r="46" spans="1:8" ht="51" customHeight="1" x14ac:dyDescent="0.3">
      <c r="A46" s="392"/>
      <c r="B46" s="431" t="s">
        <v>97</v>
      </c>
      <c r="C46" s="432"/>
      <c r="D46" s="360" t="s">
        <v>98</v>
      </c>
      <c r="E46" s="361"/>
      <c r="F46" s="366">
        <v>1.2999999999999999E-2</v>
      </c>
      <c r="G46" s="365"/>
      <c r="H46" s="362"/>
    </row>
    <row r="47" spans="1:8" ht="51" customHeight="1" x14ac:dyDescent="0.3">
      <c r="A47" s="392"/>
      <c r="B47" s="431" t="s">
        <v>99</v>
      </c>
      <c r="C47" s="432"/>
      <c r="D47" s="360" t="s">
        <v>56</v>
      </c>
      <c r="E47" s="361"/>
      <c r="F47" s="366">
        <v>0.16500000000000001</v>
      </c>
      <c r="G47" s="365"/>
      <c r="H47" s="362"/>
    </row>
    <row r="48" spans="1:8" ht="51" customHeight="1" x14ac:dyDescent="0.3">
      <c r="A48" s="392"/>
      <c r="B48" s="431" t="s">
        <v>100</v>
      </c>
      <c r="C48" s="432"/>
      <c r="D48" s="360" t="s">
        <v>98</v>
      </c>
      <c r="E48" s="361"/>
      <c r="F48" s="366">
        <v>1.2999999999999999E-2</v>
      </c>
      <c r="G48" s="365"/>
      <c r="H48" s="362" t="s">
        <v>101</v>
      </c>
    </row>
    <row r="49" spans="1:8" ht="51" customHeight="1" x14ac:dyDescent="0.3">
      <c r="A49" s="392"/>
      <c r="B49" s="431" t="s">
        <v>102</v>
      </c>
      <c r="C49" s="432"/>
      <c r="D49" s="360" t="s">
        <v>38</v>
      </c>
      <c r="E49" s="361"/>
      <c r="F49" s="366">
        <v>0.08</v>
      </c>
      <c r="G49" s="365"/>
      <c r="H49" s="362" t="s">
        <v>101</v>
      </c>
    </row>
    <row r="50" spans="1:8" ht="60.75" customHeight="1" x14ac:dyDescent="0.3">
      <c r="A50" s="350">
        <v>1.2</v>
      </c>
      <c r="B50" s="351" t="s">
        <v>103</v>
      </c>
      <c r="C50" s="351"/>
      <c r="D50" s="350"/>
      <c r="E50" s="340"/>
      <c r="F50" s="367"/>
      <c r="G50" s="340"/>
      <c r="H50" s="354"/>
    </row>
    <row r="51" spans="1:8" ht="51" customHeight="1" x14ac:dyDescent="0.3">
      <c r="A51" s="360"/>
      <c r="B51" s="417" t="s">
        <v>104</v>
      </c>
      <c r="C51" s="417"/>
      <c r="D51" s="360" t="s">
        <v>60</v>
      </c>
      <c r="E51" s="405">
        <f>BOQ!W7</f>
        <v>0</v>
      </c>
      <c r="F51" s="366">
        <v>3.4000000000000002E-2</v>
      </c>
      <c r="G51" s="365"/>
      <c r="H51" s="362" t="s">
        <v>105</v>
      </c>
    </row>
    <row r="52" spans="1:8" ht="51" customHeight="1" x14ac:dyDescent="0.3">
      <c r="A52" s="360"/>
      <c r="B52" s="417" t="s">
        <v>106</v>
      </c>
      <c r="C52" s="417"/>
      <c r="D52" s="360" t="s">
        <v>60</v>
      </c>
      <c r="E52" s="405">
        <f>BOQ!W8*30%</f>
        <v>0</v>
      </c>
      <c r="F52" s="366">
        <v>3.4000000000000002E-2</v>
      </c>
      <c r="G52" s="365"/>
      <c r="H52" s="362" t="s">
        <v>105</v>
      </c>
    </row>
    <row r="53" spans="1:8" ht="51" customHeight="1" x14ac:dyDescent="0.3">
      <c r="A53" s="444" t="s">
        <v>107</v>
      </c>
      <c r="B53" s="445"/>
      <c r="C53" s="445"/>
      <c r="D53" s="445"/>
      <c r="E53" s="445"/>
      <c r="F53" s="397"/>
      <c r="G53" s="397"/>
      <c r="H53" s="30"/>
    </row>
    <row r="54" spans="1:8" ht="75.75" customHeight="1" x14ac:dyDescent="0.3">
      <c r="A54" s="31">
        <v>1</v>
      </c>
      <c r="B54" s="32" t="s">
        <v>108</v>
      </c>
      <c r="C54" s="33" t="s">
        <v>109</v>
      </c>
      <c r="D54" s="31" t="s">
        <v>95</v>
      </c>
      <c r="E54" s="34"/>
      <c r="F54" s="377"/>
      <c r="G54" s="34"/>
      <c r="H54" s="35"/>
    </row>
    <row r="55" spans="1:8" ht="75.75" customHeight="1" x14ac:dyDescent="0.3">
      <c r="A55" s="341">
        <v>1.1000000000000001</v>
      </c>
      <c r="B55" s="356" t="s">
        <v>110</v>
      </c>
      <c r="C55" s="342"/>
      <c r="D55" s="347" t="s">
        <v>111</v>
      </c>
      <c r="E55" s="378"/>
      <c r="F55" s="378"/>
      <c r="G55" s="378"/>
      <c r="H55" s="349" t="s">
        <v>112</v>
      </c>
    </row>
    <row r="56" spans="1:8" ht="75.75" customHeight="1" x14ac:dyDescent="0.3">
      <c r="A56" s="341"/>
      <c r="B56" s="435" t="s">
        <v>113</v>
      </c>
      <c r="C56" s="432"/>
      <c r="D56" s="347" t="s">
        <v>111</v>
      </c>
      <c r="E56" s="378"/>
      <c r="F56" s="378"/>
      <c r="G56" s="378"/>
      <c r="H56" s="343" t="s">
        <v>114</v>
      </c>
    </row>
    <row r="57" spans="1:8" ht="75.75" customHeight="1" x14ac:dyDescent="0.3">
      <c r="A57" s="341"/>
      <c r="B57" s="438" t="s">
        <v>115</v>
      </c>
      <c r="C57" s="432"/>
      <c r="D57" s="347" t="s">
        <v>111</v>
      </c>
      <c r="E57" s="378"/>
      <c r="F57" s="378"/>
      <c r="G57" s="378"/>
      <c r="H57" s="343"/>
    </row>
    <row r="58" spans="1:8" ht="75.75" customHeight="1" x14ac:dyDescent="0.3">
      <c r="A58" s="341"/>
      <c r="B58" s="438" t="s">
        <v>116</v>
      </c>
      <c r="C58" s="432"/>
      <c r="D58" s="347" t="s">
        <v>111</v>
      </c>
      <c r="E58" s="378"/>
      <c r="F58" s="378"/>
      <c r="G58" s="378"/>
      <c r="H58" s="343"/>
    </row>
    <row r="59" spans="1:8" ht="75.75" customHeight="1" x14ac:dyDescent="0.3">
      <c r="A59" s="341"/>
      <c r="B59" s="434" t="s">
        <v>117</v>
      </c>
      <c r="C59" s="432"/>
      <c r="D59" s="347" t="s">
        <v>111</v>
      </c>
      <c r="E59" s="378"/>
      <c r="F59" s="378"/>
      <c r="G59" s="378"/>
      <c r="H59" s="343"/>
    </row>
    <row r="60" spans="1:8" ht="75.75" customHeight="1" x14ac:dyDescent="0.3">
      <c r="A60" s="341"/>
      <c r="B60" s="438" t="s">
        <v>118</v>
      </c>
      <c r="C60" s="432"/>
      <c r="D60" s="347" t="s">
        <v>111</v>
      </c>
      <c r="E60" s="378"/>
      <c r="F60" s="378"/>
      <c r="G60" s="378"/>
      <c r="H60" s="343"/>
    </row>
    <row r="61" spans="1:8" ht="75.75" customHeight="1" x14ac:dyDescent="0.3">
      <c r="A61" s="341"/>
      <c r="B61" s="438" t="s">
        <v>119</v>
      </c>
      <c r="C61" s="432"/>
      <c r="D61" s="347" t="s">
        <v>111</v>
      </c>
      <c r="E61" s="378"/>
      <c r="F61" s="378"/>
      <c r="G61" s="378"/>
      <c r="H61" s="343"/>
    </row>
    <row r="62" spans="1:8" ht="39" customHeight="1" x14ac:dyDescent="0.3">
      <c r="A62" s="344">
        <v>1.2</v>
      </c>
      <c r="B62" s="345" t="s">
        <v>120</v>
      </c>
      <c r="C62" s="345"/>
      <c r="D62" s="348" t="s">
        <v>95</v>
      </c>
      <c r="E62" s="379"/>
      <c r="F62" s="379"/>
      <c r="G62" s="382"/>
      <c r="H62" s="346" t="s">
        <v>121</v>
      </c>
    </row>
    <row r="63" spans="1:8" ht="39" customHeight="1" x14ac:dyDescent="0.3">
      <c r="A63" s="344">
        <v>1.3</v>
      </c>
      <c r="B63" s="345" t="s">
        <v>122</v>
      </c>
      <c r="C63" s="345"/>
      <c r="D63" s="348" t="s">
        <v>111</v>
      </c>
      <c r="E63" s="379"/>
      <c r="F63" s="379"/>
      <c r="G63" s="382"/>
      <c r="H63" s="346"/>
    </row>
    <row r="64" spans="1:8" ht="39" customHeight="1" x14ac:dyDescent="0.3">
      <c r="A64" s="36"/>
      <c r="B64" s="39"/>
      <c r="C64" s="39"/>
      <c r="D64" s="383"/>
      <c r="E64" s="398"/>
      <c r="F64" s="398"/>
      <c r="G64" s="398"/>
      <c r="H64" s="37"/>
    </row>
    <row r="65" spans="1:8" ht="39" customHeight="1" x14ac:dyDescent="0.3">
      <c r="A65" s="36"/>
      <c r="B65" s="38"/>
      <c r="C65" s="38"/>
      <c r="D65" s="436" t="s">
        <v>123</v>
      </c>
      <c r="E65" s="430"/>
      <c r="F65" s="430"/>
      <c r="G65" s="430"/>
      <c r="H65" s="437"/>
    </row>
    <row r="66" spans="1:8" ht="39" customHeight="1" x14ac:dyDescent="0.3">
      <c r="A66" s="36"/>
      <c r="B66" s="40"/>
      <c r="C66" s="40"/>
      <c r="D66" s="436" t="s">
        <v>124</v>
      </c>
      <c r="E66" s="430"/>
      <c r="F66" s="430"/>
      <c r="G66" s="430"/>
      <c r="H66" s="437"/>
    </row>
    <row r="67" spans="1:8" ht="39" customHeight="1" x14ac:dyDescent="0.3">
      <c r="A67" s="383"/>
      <c r="B67" s="40"/>
      <c r="C67" s="40"/>
      <c r="D67" s="398"/>
      <c r="E67" s="398"/>
      <c r="F67" s="398"/>
      <c r="G67" s="398"/>
      <c r="H67" s="398"/>
    </row>
    <row r="68" spans="1:8" ht="85.5" customHeight="1" x14ac:dyDescent="0.3">
      <c r="A68" s="439"/>
      <c r="B68" s="430"/>
      <c r="C68" s="430"/>
      <c r="D68" s="41"/>
      <c r="E68" s="380"/>
      <c r="F68" s="380"/>
      <c r="G68" s="380"/>
      <c r="H68" s="337"/>
    </row>
    <row r="69" spans="1:8" ht="27.75" customHeight="1" x14ac:dyDescent="0.3">
      <c r="A69" s="42"/>
      <c r="B69" s="43"/>
      <c r="C69" s="418"/>
      <c r="D69" s="433" t="s">
        <v>125</v>
      </c>
      <c r="E69" s="430"/>
      <c r="F69" s="430"/>
      <c r="G69" s="430"/>
      <c r="H69" s="430"/>
    </row>
    <row r="70" spans="1:8" ht="39" customHeight="1" x14ac:dyDescent="0.3">
      <c r="A70" s="381"/>
      <c r="B70" s="44"/>
      <c r="C70" s="45"/>
      <c r="D70" s="381"/>
      <c r="E70" s="381"/>
      <c r="F70" s="381"/>
      <c r="G70" s="381"/>
      <c r="H70" s="381"/>
    </row>
    <row r="71" spans="1:8" ht="39" customHeight="1" x14ac:dyDescent="0.3"/>
  </sheetData>
  <mergeCells count="20">
    <mergeCell ref="B19:C19"/>
    <mergeCell ref="A2:H2"/>
    <mergeCell ref="B49:C49"/>
    <mergeCell ref="D3:H3"/>
    <mergeCell ref="A53:E53"/>
    <mergeCell ref="B6:C6"/>
    <mergeCell ref="B45:C45"/>
    <mergeCell ref="B47:C47"/>
    <mergeCell ref="D69:H69"/>
    <mergeCell ref="B59:C59"/>
    <mergeCell ref="B46:C46"/>
    <mergeCell ref="B56:C56"/>
    <mergeCell ref="D65:H65"/>
    <mergeCell ref="B58:C58"/>
    <mergeCell ref="B48:C48"/>
    <mergeCell ref="B61:C61"/>
    <mergeCell ref="B60:C60"/>
    <mergeCell ref="B57:C57"/>
    <mergeCell ref="D66:H66"/>
    <mergeCell ref="A68:C68"/>
  </mergeCells>
  <pageMargins left="0.3" right="0.25" top="0.35" bottom="0.2" header="0.31496062992126" footer="0.2"/>
  <pageSetup scale="34" fitToHeight="0" orientation="portrait"/>
  <headerFooter scaleWithDoc="0">
    <oddFooter>&amp;R&amp;"Times New Roman,Regular"&amp;8 Trang &amp;P/&amp;N</oddFooter>
  </headerFooter>
  <rowBreaks count="2" manualBreakCount="2">
    <brk id="21" max="5" man="1"/>
    <brk id="42" max="7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51"/>
  <sheetViews>
    <sheetView tabSelected="1" workbookViewId="0">
      <pane ySplit="4" topLeftCell="A5" activePane="bottomLeft" state="frozen"/>
      <selection pane="bottomLeft" activeCell="H16" sqref="H15:H16"/>
    </sheetView>
  </sheetViews>
  <sheetFormatPr defaultRowHeight="14.4" x14ac:dyDescent="0.3"/>
  <cols>
    <col min="3" max="3" width="15.33203125" style="415" customWidth="1"/>
    <col min="4" max="5" width="14" style="415" customWidth="1"/>
    <col min="6" max="6" width="15.33203125" style="415" customWidth="1"/>
    <col min="7" max="7" width="13" style="415" customWidth="1"/>
    <col min="8" max="8" width="10.5546875" style="415" customWidth="1"/>
    <col min="9" max="9" width="11.109375" style="415" customWidth="1"/>
    <col min="10" max="10" width="15.33203125" style="415" customWidth="1"/>
    <col min="13" max="13" width="15.33203125" style="415" customWidth="1"/>
    <col min="14" max="14" width="16" style="415" customWidth="1"/>
    <col min="15" max="15" width="12.5546875" style="415" customWidth="1"/>
    <col min="16" max="16" width="15.5546875" style="415" customWidth="1"/>
    <col min="17" max="17" width="14.88671875" style="415" customWidth="1"/>
    <col min="18" max="18" width="10.33203125" style="415" customWidth="1"/>
    <col min="19" max="19" width="13" style="415" customWidth="1"/>
    <col min="20" max="20" width="15.6640625" style="415" customWidth="1"/>
  </cols>
  <sheetData>
    <row r="2" spans="2:20" ht="28.2" customHeight="1" x14ac:dyDescent="0.5">
      <c r="B2" s="449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</row>
    <row r="3" spans="2:20" ht="20.399999999999999" customHeight="1" x14ac:dyDescent="0.3">
      <c r="B3" s="448" t="s">
        <v>126</v>
      </c>
      <c r="C3" s="445"/>
      <c r="D3" s="445"/>
      <c r="E3" s="445"/>
      <c r="F3" s="445"/>
      <c r="G3" s="445"/>
      <c r="H3" s="445"/>
      <c r="I3" s="445"/>
      <c r="J3" s="432"/>
      <c r="K3" s="387"/>
      <c r="M3"/>
      <c r="N3"/>
      <c r="O3"/>
      <c r="P3"/>
      <c r="Q3"/>
      <c r="R3"/>
      <c r="S3"/>
      <c r="T3"/>
    </row>
    <row r="4" spans="2:20" x14ac:dyDescent="0.3">
      <c r="B4" s="388" t="s">
        <v>127</v>
      </c>
      <c r="C4" s="388" t="s">
        <v>128</v>
      </c>
      <c r="D4" s="388" t="s">
        <v>129</v>
      </c>
      <c r="E4" s="388" t="s">
        <v>130</v>
      </c>
      <c r="F4" s="388" t="s">
        <v>131</v>
      </c>
      <c r="G4" s="388" t="s">
        <v>132</v>
      </c>
      <c r="H4" s="388" t="s">
        <v>133</v>
      </c>
      <c r="I4" s="388" t="s">
        <v>134</v>
      </c>
      <c r="J4" s="388" t="s">
        <v>135</v>
      </c>
      <c r="K4" s="387"/>
      <c r="M4"/>
      <c r="N4"/>
      <c r="O4"/>
      <c r="P4"/>
      <c r="Q4"/>
      <c r="R4"/>
      <c r="S4"/>
      <c r="T4"/>
    </row>
    <row r="5" spans="2:20" x14ac:dyDescent="0.3">
      <c r="B5" s="389"/>
      <c r="C5" s="389"/>
      <c r="D5" s="389"/>
      <c r="E5" s="389"/>
      <c r="F5" s="389"/>
      <c r="G5" s="389"/>
      <c r="H5" s="389"/>
      <c r="I5" s="389"/>
      <c r="J5" s="389"/>
      <c r="K5" s="387"/>
      <c r="M5"/>
      <c r="N5"/>
      <c r="O5"/>
      <c r="P5"/>
      <c r="Q5"/>
      <c r="R5"/>
      <c r="S5"/>
      <c r="T5"/>
    </row>
    <row r="24" spans="18:19" ht="15.6" customHeight="1" x14ac:dyDescent="0.3">
      <c r="R24" s="430"/>
      <c r="S24" s="430"/>
    </row>
    <row r="44" spans="4:9" ht="15.6" customHeight="1" x14ac:dyDescent="0.3">
      <c r="H44" s="430"/>
      <c r="I44" s="430"/>
    </row>
    <row r="48" spans="4:9" ht="20.399999999999999" customHeight="1" x14ac:dyDescent="0.3">
      <c r="D48" s="430"/>
      <c r="E48" s="430"/>
    </row>
    <row r="49" spans="4:5" ht="20.399999999999999" customHeight="1" x14ac:dyDescent="0.3">
      <c r="D49" s="430"/>
      <c r="E49" s="430"/>
    </row>
    <row r="50" spans="4:5" ht="20.399999999999999" customHeight="1" x14ac:dyDescent="0.3">
      <c r="D50" s="430"/>
      <c r="E50" s="430"/>
    </row>
    <row r="51" spans="4:5" ht="20.399999999999999" customHeight="1" x14ac:dyDescent="0.3"/>
  </sheetData>
  <mergeCells count="7">
    <mergeCell ref="B2:T2"/>
    <mergeCell ref="B3:J3"/>
    <mergeCell ref="D50:E50"/>
    <mergeCell ref="D49:E49"/>
    <mergeCell ref="R24:S24"/>
    <mergeCell ref="H44:I44"/>
    <mergeCell ref="D48:E48"/>
  </mergeCells>
  <pageMargins left="0.7" right="0.7" top="0.75" bottom="0.75" header="0.3" footer="0.3"/>
  <pageSetup paperSize="9"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89"/>
  <sheetViews>
    <sheetView view="pageBreakPreview" zoomScale="70" zoomScaleNormal="25" zoomScaleSheetLayoutView="70" workbookViewId="0">
      <pane xSplit="2" ySplit="3" topLeftCell="C43" activePane="bottomRight" state="frozen"/>
      <selection activeCell="G23" sqref="G23"/>
      <selection pane="topRight" activeCell="G23" sqref="G23"/>
      <selection pane="bottomLeft" activeCell="G23" sqref="G23"/>
      <selection pane="bottomRight" activeCell="C54" sqref="C54:D54"/>
    </sheetView>
  </sheetViews>
  <sheetFormatPr defaultColWidth="22.109375" defaultRowHeight="17.399999999999999" outlineLevelRow="1" x14ac:dyDescent="0.3"/>
  <cols>
    <col min="1" max="1" width="16.33203125" style="415" customWidth="1"/>
    <col min="2" max="2" width="74.5546875" style="415" customWidth="1"/>
    <col min="3" max="3" width="21.5546875" style="415" customWidth="1"/>
    <col min="4" max="4" width="19.6640625" style="415" customWidth="1"/>
    <col min="5" max="5" width="31.5546875" style="415" customWidth="1"/>
    <col min="6" max="6" width="25.6640625" style="415" customWidth="1"/>
    <col min="7" max="7" width="13.5546875" style="415" customWidth="1"/>
    <col min="8" max="8" width="19.109375" style="1" customWidth="1"/>
    <col min="9" max="9" width="34.109375" style="2" customWidth="1"/>
    <col min="10" max="10" width="30.88671875" style="1" customWidth="1"/>
    <col min="11" max="11" width="25" style="415" customWidth="1"/>
    <col min="12" max="12" width="26.6640625" style="5" customWidth="1"/>
    <col min="13" max="13" width="136" style="6" customWidth="1"/>
    <col min="14" max="14" width="10.88671875" style="7" customWidth="1"/>
    <col min="15" max="15" width="15.6640625" style="6" customWidth="1"/>
    <col min="16" max="16" width="21.6640625" style="7" customWidth="1"/>
    <col min="17" max="17" width="7.109375" style="415" customWidth="1"/>
    <col min="18" max="18" width="10.33203125" style="415" customWidth="1"/>
    <col min="19" max="19" width="25.88671875" style="415" customWidth="1"/>
    <col min="20" max="20" width="16.6640625" style="415" customWidth="1"/>
    <col min="21" max="21" width="22" style="6" customWidth="1"/>
    <col min="22" max="22" width="18.88671875" style="8" customWidth="1"/>
    <col min="23" max="23" width="25.33203125" style="415" customWidth="1"/>
    <col min="24" max="24" width="28" style="6" customWidth="1"/>
    <col min="25" max="25" width="25.33203125" style="415" customWidth="1"/>
    <col min="26" max="26" width="12.109375" style="415" customWidth="1"/>
    <col min="27" max="27" width="14.109375" style="8" customWidth="1"/>
    <col min="28" max="28" width="17.5546875" style="6" customWidth="1"/>
    <col min="29" max="29" width="21.44140625" style="6" customWidth="1"/>
    <col min="30" max="30" width="10.88671875" style="415" customWidth="1"/>
  </cols>
  <sheetData>
    <row r="1" spans="1:30" ht="51" customHeight="1" x14ac:dyDescent="0.5">
      <c r="A1" s="483" t="s">
        <v>136</v>
      </c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55"/>
      <c r="N1" s="56"/>
      <c r="O1" s="55"/>
      <c r="P1" s="56"/>
      <c r="Q1" s="427"/>
      <c r="R1" s="427"/>
      <c r="S1" s="57" t="s">
        <v>137</v>
      </c>
      <c r="T1" s="58">
        <f>C71</f>
        <v>73314880.49239938</v>
      </c>
      <c r="U1" s="55"/>
      <c r="V1" s="59"/>
      <c r="W1" s="60"/>
      <c r="X1" s="55" t="s">
        <v>138</v>
      </c>
      <c r="Y1" s="60" t="e">
        <f>AC43-U43</f>
        <v>#DIV/0!</v>
      </c>
      <c r="Z1" s="61"/>
      <c r="AA1" s="59"/>
      <c r="AB1" s="55"/>
      <c r="AC1" s="55"/>
      <c r="AD1" s="427"/>
    </row>
    <row r="2" spans="1:30" s="11" customFormat="1" ht="32.1" customHeight="1" x14ac:dyDescent="0.5">
      <c r="A2" s="463" t="s">
        <v>27</v>
      </c>
      <c r="B2" s="459" t="s">
        <v>139</v>
      </c>
      <c r="C2" s="463" t="s">
        <v>30</v>
      </c>
      <c r="D2" s="463" t="s">
        <v>31</v>
      </c>
      <c r="E2" s="62" t="s">
        <v>140</v>
      </c>
      <c r="F2" s="62"/>
      <c r="G2" s="62"/>
      <c r="H2" s="62" t="s">
        <v>141</v>
      </c>
      <c r="I2" s="62"/>
      <c r="J2" s="62"/>
      <c r="K2" s="63"/>
      <c r="L2" s="64"/>
      <c r="M2" s="65" t="s">
        <v>142</v>
      </c>
      <c r="N2" s="56" t="s">
        <v>143</v>
      </c>
      <c r="O2" s="55" t="s">
        <v>144</v>
      </c>
      <c r="P2" s="56" t="s">
        <v>145</v>
      </c>
      <c r="Q2" s="427"/>
      <c r="R2" s="427"/>
      <c r="S2" s="57" t="s">
        <v>146</v>
      </c>
      <c r="T2" s="58">
        <f>SUMIF($AD$5:$AD$27,C72,$U$5:$U$27)</f>
        <v>0</v>
      </c>
      <c r="U2" s="66" t="e">
        <f>T1/T2</f>
        <v>#DIV/0!</v>
      </c>
      <c r="V2" s="59"/>
      <c r="W2" s="427"/>
      <c r="X2" s="55" t="s">
        <v>147</v>
      </c>
      <c r="Y2" s="67" t="e">
        <f>T1-Y1</f>
        <v>#DIV/0!</v>
      </c>
      <c r="Z2" s="427"/>
      <c r="AA2" s="59"/>
      <c r="AB2" s="55"/>
      <c r="AC2" s="55"/>
      <c r="AD2" s="427"/>
    </row>
    <row r="3" spans="1:30" s="11" customFormat="1" ht="32.1" customHeight="1" x14ac:dyDescent="0.5">
      <c r="A3" s="460"/>
      <c r="B3" s="460"/>
      <c r="C3" s="460"/>
      <c r="D3" s="460"/>
      <c r="E3" s="68" t="s">
        <v>148</v>
      </c>
      <c r="F3" s="68" t="s">
        <v>149</v>
      </c>
      <c r="G3" s="69" t="s">
        <v>150</v>
      </c>
      <c r="H3" s="70" t="s">
        <v>151</v>
      </c>
      <c r="I3" s="68" t="s">
        <v>148</v>
      </c>
      <c r="J3" s="68" t="s">
        <v>149</v>
      </c>
      <c r="K3" s="68" t="s">
        <v>152</v>
      </c>
      <c r="L3" s="71" t="s">
        <v>34</v>
      </c>
      <c r="M3" s="55"/>
      <c r="N3" s="56"/>
      <c r="O3" s="55"/>
      <c r="P3" s="56" t="s">
        <v>153</v>
      </c>
      <c r="Q3" s="427"/>
      <c r="R3" s="71" t="s">
        <v>154</v>
      </c>
      <c r="S3" s="71" t="s">
        <v>155</v>
      </c>
      <c r="T3" s="71" t="s">
        <v>156</v>
      </c>
      <c r="U3" s="72" t="s">
        <v>149</v>
      </c>
      <c r="V3" s="484" t="s">
        <v>157</v>
      </c>
      <c r="W3" s="469" t="s">
        <v>158</v>
      </c>
      <c r="X3" s="458" t="s">
        <v>159</v>
      </c>
      <c r="Y3" s="485" t="s">
        <v>158</v>
      </c>
      <c r="Z3" s="461" t="s">
        <v>160</v>
      </c>
      <c r="AA3" s="472" t="s">
        <v>161</v>
      </c>
      <c r="AB3" s="475" t="s">
        <v>162</v>
      </c>
      <c r="AC3" s="73" t="s">
        <v>163</v>
      </c>
      <c r="AD3" s="477" t="s">
        <v>164</v>
      </c>
    </row>
    <row r="4" spans="1:30" s="11" customFormat="1" ht="57" customHeight="1" x14ac:dyDescent="0.5">
      <c r="A4" s="74" t="s">
        <v>12</v>
      </c>
      <c r="B4" s="75" t="s">
        <v>165</v>
      </c>
      <c r="C4" s="76"/>
      <c r="D4" s="76"/>
      <c r="E4" s="76"/>
      <c r="F4" s="77">
        <f>SUBTOTAL(9,F5:F14)</f>
        <v>184952727.27272725</v>
      </c>
      <c r="G4" s="76"/>
      <c r="H4" s="78">
        <f>K4/F4</f>
        <v>0.26362559474656921</v>
      </c>
      <c r="I4" s="76"/>
      <c r="J4" s="77">
        <f>SUBTOTAL(9,J5:J14)</f>
        <v>233711000</v>
      </c>
      <c r="K4" s="77">
        <f>SUBTOTAL(9,K5:K14)</f>
        <v>48758272.727272734</v>
      </c>
      <c r="L4" s="79"/>
      <c r="M4" s="55"/>
      <c r="N4" s="56"/>
      <c r="O4" s="55"/>
      <c r="P4" s="56"/>
      <c r="Q4" s="427"/>
      <c r="R4" s="426"/>
      <c r="S4" s="426"/>
      <c r="T4" s="426"/>
      <c r="U4" s="80"/>
      <c r="V4" s="470"/>
      <c r="W4" s="470"/>
      <c r="X4" s="437"/>
      <c r="Y4" s="462"/>
      <c r="Z4" s="462"/>
      <c r="AA4" s="437"/>
      <c r="AB4" s="470"/>
      <c r="AC4" s="81"/>
      <c r="AD4" s="462"/>
    </row>
    <row r="5" spans="1:30" s="10" customFormat="1" ht="50.25" hidden="1" customHeight="1" outlineLevel="1" x14ac:dyDescent="0.3">
      <c r="A5" s="82">
        <f>_xlfn.AGGREGATE(3,5,$B$5:B5)</f>
        <v>0</v>
      </c>
      <c r="B5" s="83" t="s">
        <v>36</v>
      </c>
      <c r="C5" s="84" t="s">
        <v>38</v>
      </c>
      <c r="D5" s="85">
        <v>113</v>
      </c>
      <c r="E5" s="86">
        <v>500000</v>
      </c>
      <c r="F5" s="86">
        <f t="shared" ref="F5:F14" si="0">E5*D5</f>
        <v>56500000</v>
      </c>
      <c r="G5" s="87"/>
      <c r="H5" s="88">
        <f>P5-1</f>
        <v>0.30000000000000004</v>
      </c>
      <c r="I5" s="89">
        <f t="shared" ref="I5:I14" si="1">ROUNDUP((E5+G5+E5*H5),-3)</f>
        <v>650000</v>
      </c>
      <c r="J5" s="90">
        <f t="shared" ref="J5:J14" si="2">I5*D5</f>
        <v>73450000</v>
      </c>
      <c r="K5" s="90">
        <f t="shared" ref="K5:K14" si="3">J5-F5</f>
        <v>16950000</v>
      </c>
      <c r="L5" s="91"/>
      <c r="M5" s="92">
        <f>1300000/1.1</f>
        <v>1181818.1818181816</v>
      </c>
      <c r="N5" s="303">
        <v>0.45</v>
      </c>
      <c r="O5" s="92">
        <f t="shared" ref="O5:O11" si="4">M5*(1-N5)</f>
        <v>650000</v>
      </c>
      <c r="P5" s="303">
        <f t="shared" ref="P5:P11" si="5">O5/E5</f>
        <v>1.3</v>
      </c>
      <c r="Q5" s="303">
        <f>E5/M5</f>
        <v>0.42307692307692313</v>
      </c>
      <c r="R5" s="93">
        <f>D5</f>
        <v>113</v>
      </c>
      <c r="S5" s="94">
        <f>E5</f>
        <v>500000</v>
      </c>
      <c r="T5" s="94">
        <f>I5</f>
        <v>650000</v>
      </c>
      <c r="U5" s="95">
        <f>T5*R5</f>
        <v>73450000</v>
      </c>
      <c r="V5" s="96" t="e">
        <f>IF(AD5=1,U5*$U$2/R5+T5,T5)</f>
        <v>#DIV/0!</v>
      </c>
      <c r="W5" s="97" t="e">
        <f>1-T5/V5</f>
        <v>#DIV/0!</v>
      </c>
      <c r="X5" s="98">
        <v>940000</v>
      </c>
      <c r="Y5" s="99">
        <f>IF(X5&lt;&gt;0,1-T5/X5," ")</f>
        <v>0.30851063829787229</v>
      </c>
      <c r="Z5" s="100"/>
      <c r="AA5" s="94">
        <f>IF(Z5&lt;&gt;0,Z5,R5)</f>
        <v>113</v>
      </c>
      <c r="AB5" s="95">
        <f>IF(X5&lt;&gt;0, X5,V5)</f>
        <v>940000</v>
      </c>
      <c r="AC5" s="95">
        <f>AA5*AB5</f>
        <v>106220000</v>
      </c>
      <c r="AD5" s="101">
        <v>1</v>
      </c>
    </row>
    <row r="6" spans="1:30" s="10" customFormat="1" ht="50.25" hidden="1" customHeight="1" outlineLevel="1" x14ac:dyDescent="0.3">
      <c r="A6" s="102">
        <f>_xlfn.AGGREGATE(3,5,$B$5:B6)</f>
        <v>0</v>
      </c>
      <c r="B6" s="103" t="s">
        <v>39</v>
      </c>
      <c r="C6" s="104" t="s">
        <v>38</v>
      </c>
      <c r="D6" s="105">
        <v>14</v>
      </c>
      <c r="E6" s="86">
        <v>500000</v>
      </c>
      <c r="F6" s="106">
        <f t="shared" si="0"/>
        <v>7000000</v>
      </c>
      <c r="G6" s="107"/>
      <c r="H6" s="108">
        <f>P6-1</f>
        <v>0.2645454545454542</v>
      </c>
      <c r="I6" s="89">
        <f t="shared" si="1"/>
        <v>633000</v>
      </c>
      <c r="J6" s="109">
        <f t="shared" si="2"/>
        <v>8862000</v>
      </c>
      <c r="K6" s="109">
        <f t="shared" si="3"/>
        <v>1862000</v>
      </c>
      <c r="L6" s="110"/>
      <c r="M6" s="92">
        <f>1300000/1.1</f>
        <v>1181818.1818181816</v>
      </c>
      <c r="N6" s="111">
        <v>0.46500000000000002</v>
      </c>
      <c r="O6" s="112">
        <f t="shared" si="4"/>
        <v>632272.72727272706</v>
      </c>
      <c r="P6" s="111">
        <f t="shared" si="5"/>
        <v>1.2645454545454542</v>
      </c>
      <c r="Q6" s="303"/>
      <c r="R6" s="93"/>
      <c r="S6" s="94"/>
      <c r="T6" s="94"/>
      <c r="U6" s="95"/>
      <c r="V6" s="96"/>
      <c r="W6" s="97"/>
      <c r="X6" s="98"/>
      <c r="Y6" s="99"/>
      <c r="Z6" s="100"/>
      <c r="AA6" s="94"/>
      <c r="AB6" s="95"/>
      <c r="AC6" s="95"/>
      <c r="AD6" s="101"/>
    </row>
    <row r="7" spans="1:30" s="10" customFormat="1" ht="50.25" hidden="1" customHeight="1" outlineLevel="1" x14ac:dyDescent="0.3">
      <c r="A7" s="102">
        <f>_xlfn.AGGREGATE(3,5,$B$5:B7)</f>
        <v>0</v>
      </c>
      <c r="B7" s="113" t="s">
        <v>43</v>
      </c>
      <c r="C7" s="104" t="s">
        <v>38</v>
      </c>
      <c r="D7" s="105">
        <v>4</v>
      </c>
      <c r="E7" s="106">
        <f>7500000/1.1</f>
        <v>6818181.8181818174</v>
      </c>
      <c r="F7" s="106">
        <f t="shared" si="0"/>
        <v>27272727.27272727</v>
      </c>
      <c r="G7" s="107"/>
      <c r="H7" s="108">
        <f>P7-1</f>
        <v>0.26844000000000001</v>
      </c>
      <c r="I7" s="89">
        <f t="shared" si="1"/>
        <v>8649000</v>
      </c>
      <c r="J7" s="109">
        <f t="shared" si="2"/>
        <v>34596000</v>
      </c>
      <c r="K7" s="109">
        <f t="shared" si="3"/>
        <v>7323272.7272727303</v>
      </c>
      <c r="L7" s="114"/>
      <c r="M7" s="115">
        <f>16690000/1.1</f>
        <v>15172727.272727272</v>
      </c>
      <c r="N7" s="303">
        <v>0.43</v>
      </c>
      <c r="O7" s="92">
        <f t="shared" si="4"/>
        <v>8648454.5454545449</v>
      </c>
      <c r="P7" s="303">
        <f t="shared" si="5"/>
        <v>1.26844</v>
      </c>
      <c r="Q7" s="303"/>
      <c r="R7" s="93">
        <f t="shared" ref="R7:S14" si="6">D7</f>
        <v>4</v>
      </c>
      <c r="S7" s="94">
        <f t="shared" si="6"/>
        <v>6818181.8181818174</v>
      </c>
      <c r="T7" s="94">
        <f t="shared" ref="T7:T14" si="7">I7</f>
        <v>8649000</v>
      </c>
      <c r="U7" s="95">
        <f t="shared" ref="U7:U14" si="8">T7*R7</f>
        <v>34596000</v>
      </c>
      <c r="V7" s="96" t="e">
        <f t="shared" ref="V7:V14" si="9">IF(AD7=1,U7*$U$2/R7+T7,T7)</f>
        <v>#DIV/0!</v>
      </c>
      <c r="W7" s="97" t="e">
        <f t="shared" ref="W7:W14" si="10">1-T7/V7</f>
        <v>#DIV/0!</v>
      </c>
      <c r="X7" s="98">
        <v>66800000</v>
      </c>
      <c r="Y7" s="99">
        <f t="shared" ref="Y7:Y14" si="11">IF(X7&lt;&gt;0,1-T7/X7," ")</f>
        <v>0.87052395209580835</v>
      </c>
      <c r="Z7" s="100"/>
      <c r="AA7" s="94">
        <f t="shared" ref="AA7:AA14" si="12">IF(Z7&lt;&gt;0,Z7,R7)</f>
        <v>4</v>
      </c>
      <c r="AB7" s="95">
        <f t="shared" ref="AB7:AB14" si="13">IF(X7&lt;&gt;0, X7,V7)</f>
        <v>66800000</v>
      </c>
      <c r="AC7" s="95">
        <f t="shared" ref="AC7:AC14" si="14">AA7*AB7</f>
        <v>267200000</v>
      </c>
      <c r="AD7" s="101">
        <v>1</v>
      </c>
    </row>
    <row r="8" spans="1:30" s="10" customFormat="1" ht="50.25" hidden="1" customHeight="1" outlineLevel="1" thickBot="1" x14ac:dyDescent="0.35">
      <c r="A8" s="102">
        <f>_xlfn.AGGREGATE(3,5,$B$5:B8)</f>
        <v>0</v>
      </c>
      <c r="B8" s="113" t="s">
        <v>166</v>
      </c>
      <c r="C8" s="104" t="s">
        <v>38</v>
      </c>
      <c r="D8" s="105">
        <v>8</v>
      </c>
      <c r="E8" s="106">
        <f>5060000/1.1</f>
        <v>4600000</v>
      </c>
      <c r="F8" s="106">
        <f t="shared" si="0"/>
        <v>36800000</v>
      </c>
      <c r="G8" s="107"/>
      <c r="H8" s="108">
        <v>0.16300000000000001</v>
      </c>
      <c r="I8" s="89">
        <f t="shared" si="1"/>
        <v>5350000</v>
      </c>
      <c r="J8" s="109">
        <f t="shared" si="2"/>
        <v>42800000</v>
      </c>
      <c r="K8" s="109">
        <f t="shared" si="3"/>
        <v>6000000</v>
      </c>
      <c r="L8" s="114"/>
      <c r="M8" s="116">
        <v>5879000</v>
      </c>
      <c r="N8" s="303">
        <v>0.18</v>
      </c>
      <c r="O8" s="92">
        <f t="shared" si="4"/>
        <v>4820780</v>
      </c>
      <c r="P8" s="303">
        <f t="shared" si="5"/>
        <v>1.0479956521739131</v>
      </c>
      <c r="Q8" s="421"/>
      <c r="R8" s="93">
        <f t="shared" si="6"/>
        <v>8</v>
      </c>
      <c r="S8" s="94">
        <f t="shared" si="6"/>
        <v>4600000</v>
      </c>
      <c r="T8" s="94">
        <f t="shared" si="7"/>
        <v>5350000</v>
      </c>
      <c r="U8" s="95">
        <f t="shared" si="8"/>
        <v>42800000</v>
      </c>
      <c r="V8" s="96">
        <f t="shared" si="9"/>
        <v>5350000</v>
      </c>
      <c r="W8" s="97">
        <f t="shared" si="10"/>
        <v>0</v>
      </c>
      <c r="X8" s="98"/>
      <c r="Y8" s="99" t="str">
        <f t="shared" si="11"/>
        <v xml:space="preserve"> </v>
      </c>
      <c r="Z8" s="100"/>
      <c r="AA8" s="94">
        <f t="shared" si="12"/>
        <v>8</v>
      </c>
      <c r="AB8" s="95">
        <f t="shared" si="13"/>
        <v>5350000</v>
      </c>
      <c r="AC8" s="95">
        <f t="shared" si="14"/>
        <v>42800000</v>
      </c>
      <c r="AD8" s="101"/>
    </row>
    <row r="9" spans="1:30" s="10" customFormat="1" ht="50.25" hidden="1" customHeight="1" outlineLevel="1" x14ac:dyDescent="0.3">
      <c r="A9" s="104">
        <f>_xlfn.AGGREGATE(3,5,$B$5:B9)</f>
        <v>0</v>
      </c>
      <c r="B9" s="113" t="s">
        <v>49</v>
      </c>
      <c r="C9" s="104" t="s">
        <v>38</v>
      </c>
      <c r="D9" s="105">
        <v>4</v>
      </c>
      <c r="E9" s="106">
        <v>3750000</v>
      </c>
      <c r="F9" s="106">
        <f t="shared" si="0"/>
        <v>15000000</v>
      </c>
      <c r="G9" s="107"/>
      <c r="H9" s="108">
        <f>P9-1</f>
        <v>0.20632727272727269</v>
      </c>
      <c r="I9" s="89">
        <f t="shared" si="1"/>
        <v>4524000</v>
      </c>
      <c r="J9" s="109">
        <f t="shared" si="2"/>
        <v>18096000</v>
      </c>
      <c r="K9" s="109">
        <f t="shared" si="3"/>
        <v>3096000</v>
      </c>
      <c r="L9" s="114"/>
      <c r="M9" s="92">
        <f>8730000/1.1</f>
        <v>7936363.6363636358</v>
      </c>
      <c r="N9" s="303">
        <v>0.43</v>
      </c>
      <c r="O9" s="92">
        <f t="shared" si="4"/>
        <v>4523727.2727272725</v>
      </c>
      <c r="P9" s="303">
        <f t="shared" si="5"/>
        <v>1.2063272727272727</v>
      </c>
      <c r="Q9" s="421"/>
      <c r="R9" s="93">
        <f t="shared" si="6"/>
        <v>4</v>
      </c>
      <c r="S9" s="94">
        <f t="shared" si="6"/>
        <v>3750000</v>
      </c>
      <c r="T9" s="94">
        <f t="shared" si="7"/>
        <v>4524000</v>
      </c>
      <c r="U9" s="95">
        <f t="shared" si="8"/>
        <v>18096000</v>
      </c>
      <c r="V9" s="96" t="e">
        <f t="shared" si="9"/>
        <v>#DIV/0!</v>
      </c>
      <c r="W9" s="97" t="e">
        <f t="shared" si="10"/>
        <v>#DIV/0!</v>
      </c>
      <c r="X9" s="98">
        <v>8480000</v>
      </c>
      <c r="Y9" s="99">
        <f t="shared" si="11"/>
        <v>0.46650943396226419</v>
      </c>
      <c r="Z9" s="100"/>
      <c r="AA9" s="94">
        <f t="shared" si="12"/>
        <v>4</v>
      </c>
      <c r="AB9" s="95">
        <f t="shared" si="13"/>
        <v>8480000</v>
      </c>
      <c r="AC9" s="95">
        <f t="shared" si="14"/>
        <v>33920000</v>
      </c>
      <c r="AD9" s="101">
        <v>1</v>
      </c>
    </row>
    <row r="10" spans="1:30" s="10" customFormat="1" ht="50.25" hidden="1" customHeight="1" outlineLevel="1" x14ac:dyDescent="0.3">
      <c r="A10" s="104">
        <f>_xlfn.AGGREGATE(3,5,$B$5:B10)</f>
        <v>0</v>
      </c>
      <c r="B10" s="113" t="s">
        <v>47</v>
      </c>
      <c r="C10" s="104" t="s">
        <v>38</v>
      </c>
      <c r="D10" s="105">
        <v>4</v>
      </c>
      <c r="E10" s="106">
        <v>3000000</v>
      </c>
      <c r="F10" s="106">
        <f t="shared" si="0"/>
        <v>12000000</v>
      </c>
      <c r="G10" s="107"/>
      <c r="H10" s="108">
        <f>P10-1</f>
        <v>0.32050000000000023</v>
      </c>
      <c r="I10" s="89">
        <f t="shared" si="1"/>
        <v>3962000</v>
      </c>
      <c r="J10" s="109">
        <f t="shared" si="2"/>
        <v>15848000</v>
      </c>
      <c r="K10" s="109">
        <f t="shared" si="3"/>
        <v>3848000</v>
      </c>
      <c r="L10" s="114"/>
      <c r="M10" s="92">
        <v>6950000</v>
      </c>
      <c r="N10" s="303">
        <v>0.43</v>
      </c>
      <c r="O10" s="92">
        <f t="shared" si="4"/>
        <v>3961500.0000000005</v>
      </c>
      <c r="P10" s="303">
        <f t="shared" si="5"/>
        <v>1.3205000000000002</v>
      </c>
      <c r="Q10" s="421"/>
      <c r="R10" s="93">
        <f t="shared" si="6"/>
        <v>4</v>
      </c>
      <c r="S10" s="94">
        <f t="shared" si="6"/>
        <v>3000000</v>
      </c>
      <c r="T10" s="94">
        <f t="shared" si="7"/>
        <v>3962000</v>
      </c>
      <c r="U10" s="95">
        <f t="shared" si="8"/>
        <v>15848000</v>
      </c>
      <c r="V10" s="96" t="e">
        <f t="shared" si="9"/>
        <v>#DIV/0!</v>
      </c>
      <c r="W10" s="97" t="e">
        <f t="shared" si="10"/>
        <v>#DIV/0!</v>
      </c>
      <c r="X10" s="98">
        <v>6150000</v>
      </c>
      <c r="Y10" s="99">
        <f t="shared" si="11"/>
        <v>0.35577235772357718</v>
      </c>
      <c r="Z10" s="100"/>
      <c r="AA10" s="94">
        <f t="shared" si="12"/>
        <v>4</v>
      </c>
      <c r="AB10" s="95">
        <f t="shared" si="13"/>
        <v>6150000</v>
      </c>
      <c r="AC10" s="95">
        <f t="shared" si="14"/>
        <v>24600000</v>
      </c>
      <c r="AD10" s="101">
        <v>1</v>
      </c>
    </row>
    <row r="11" spans="1:30" s="12" customFormat="1" ht="50.25" hidden="1" customHeight="1" outlineLevel="1" x14ac:dyDescent="0.3">
      <c r="A11" s="104">
        <f>_xlfn.AGGREGATE(3,5,$B$5:B11)</f>
        <v>0</v>
      </c>
      <c r="B11" s="117" t="s">
        <v>51</v>
      </c>
      <c r="C11" s="104" t="s">
        <v>38</v>
      </c>
      <c r="D11" s="105">
        <v>1</v>
      </c>
      <c r="E11" s="106">
        <v>2780000</v>
      </c>
      <c r="F11" s="106">
        <f t="shared" si="0"/>
        <v>2780000</v>
      </c>
      <c r="G11" s="118"/>
      <c r="H11" s="108">
        <v>0.25</v>
      </c>
      <c r="I11" s="89">
        <f t="shared" si="1"/>
        <v>3475000</v>
      </c>
      <c r="J11" s="109">
        <f t="shared" si="2"/>
        <v>3475000</v>
      </c>
      <c r="K11" s="109">
        <f t="shared" si="3"/>
        <v>695000</v>
      </c>
      <c r="L11" s="114"/>
      <c r="M11" s="115">
        <v>1499000</v>
      </c>
      <c r="N11" s="302">
        <v>0.05</v>
      </c>
      <c r="O11" s="115">
        <f t="shared" si="4"/>
        <v>1424050</v>
      </c>
      <c r="P11" s="302">
        <f t="shared" si="5"/>
        <v>0.51224820143884897</v>
      </c>
      <c r="Q11" s="119"/>
      <c r="R11" s="93">
        <f t="shared" si="6"/>
        <v>1</v>
      </c>
      <c r="S11" s="94">
        <f t="shared" si="6"/>
        <v>2780000</v>
      </c>
      <c r="T11" s="94">
        <f t="shared" si="7"/>
        <v>3475000</v>
      </c>
      <c r="U11" s="95">
        <f t="shared" si="8"/>
        <v>3475000</v>
      </c>
      <c r="V11" s="96" t="e">
        <f t="shared" si="9"/>
        <v>#DIV/0!</v>
      </c>
      <c r="W11" s="97" t="e">
        <f t="shared" si="10"/>
        <v>#DIV/0!</v>
      </c>
      <c r="X11" s="98">
        <v>2150000</v>
      </c>
      <c r="Y11" s="99">
        <f t="shared" si="11"/>
        <v>-0.61627906976744184</v>
      </c>
      <c r="Z11" s="100"/>
      <c r="AA11" s="94">
        <f t="shared" si="12"/>
        <v>1</v>
      </c>
      <c r="AB11" s="95">
        <f t="shared" si="13"/>
        <v>2150000</v>
      </c>
      <c r="AC11" s="95">
        <f t="shared" si="14"/>
        <v>2150000</v>
      </c>
      <c r="AD11" s="120">
        <v>1</v>
      </c>
    </row>
    <row r="12" spans="1:30" s="10" customFormat="1" ht="50.25" hidden="1" customHeight="1" outlineLevel="1" x14ac:dyDescent="0.3">
      <c r="A12" s="102">
        <f>_xlfn.AGGREGATE(3,5,$B$5:B12)</f>
        <v>0</v>
      </c>
      <c r="B12" s="121" t="s">
        <v>167</v>
      </c>
      <c r="C12" s="102" t="s">
        <v>38</v>
      </c>
      <c r="D12" s="122">
        <v>4</v>
      </c>
      <c r="E12" s="106">
        <v>6200000</v>
      </c>
      <c r="F12" s="106">
        <f t="shared" si="0"/>
        <v>24800000</v>
      </c>
      <c r="G12" s="107"/>
      <c r="H12" s="108">
        <v>0.28999999999999998</v>
      </c>
      <c r="I12" s="89">
        <f t="shared" si="1"/>
        <v>7998000</v>
      </c>
      <c r="J12" s="109">
        <f t="shared" si="2"/>
        <v>31992000</v>
      </c>
      <c r="K12" s="109">
        <f t="shared" si="3"/>
        <v>7192000</v>
      </c>
      <c r="L12" s="110"/>
      <c r="M12" s="92"/>
      <c r="N12" s="303"/>
      <c r="O12" s="92"/>
      <c r="P12" s="303"/>
      <c r="Q12" s="421"/>
      <c r="R12" s="93">
        <f t="shared" si="6"/>
        <v>4</v>
      </c>
      <c r="S12" s="94">
        <f t="shared" si="6"/>
        <v>6200000</v>
      </c>
      <c r="T12" s="94">
        <f t="shared" si="7"/>
        <v>7998000</v>
      </c>
      <c r="U12" s="95">
        <f t="shared" si="8"/>
        <v>31992000</v>
      </c>
      <c r="V12" s="96" t="e">
        <f t="shared" si="9"/>
        <v>#DIV/0!</v>
      </c>
      <c r="W12" s="97" t="e">
        <f t="shared" si="10"/>
        <v>#DIV/0!</v>
      </c>
      <c r="X12" s="98">
        <v>500000</v>
      </c>
      <c r="Y12" s="99">
        <f t="shared" si="11"/>
        <v>-14.996</v>
      </c>
      <c r="Z12" s="101"/>
      <c r="AA12" s="94">
        <f t="shared" si="12"/>
        <v>4</v>
      </c>
      <c r="AB12" s="95">
        <f t="shared" si="13"/>
        <v>500000</v>
      </c>
      <c r="AC12" s="95">
        <f t="shared" si="14"/>
        <v>2000000</v>
      </c>
      <c r="AD12" s="101">
        <v>1</v>
      </c>
    </row>
    <row r="13" spans="1:30" s="12" customFormat="1" ht="50.25" hidden="1" customHeight="1" outlineLevel="1" x14ac:dyDescent="0.3">
      <c r="A13" s="102">
        <f>_xlfn.AGGREGATE(3,5,$B$5:B13)</f>
        <v>0</v>
      </c>
      <c r="B13" s="121" t="str">
        <f>[15]BOq!B26</f>
        <v>Khung kệ tivi</v>
      </c>
      <c r="C13" s="102" t="s">
        <v>38</v>
      </c>
      <c r="D13" s="105">
        <v>4</v>
      </c>
      <c r="E13" s="106">
        <v>300000</v>
      </c>
      <c r="F13" s="106">
        <f t="shared" si="0"/>
        <v>1200000</v>
      </c>
      <c r="G13" s="118"/>
      <c r="H13" s="123">
        <v>0.65999999999999992</v>
      </c>
      <c r="I13" s="89">
        <f t="shared" si="1"/>
        <v>498000</v>
      </c>
      <c r="J13" s="109">
        <f t="shared" si="2"/>
        <v>1992000</v>
      </c>
      <c r="K13" s="109">
        <f t="shared" si="3"/>
        <v>792000</v>
      </c>
      <c r="L13" s="114"/>
      <c r="M13" s="115"/>
      <c r="N13" s="302"/>
      <c r="O13" s="115"/>
      <c r="P13" s="302">
        <f>O13/E13</f>
        <v>0</v>
      </c>
      <c r="Q13" s="119"/>
      <c r="R13" s="124">
        <f t="shared" si="6"/>
        <v>4</v>
      </c>
      <c r="S13" s="94">
        <f t="shared" si="6"/>
        <v>300000</v>
      </c>
      <c r="T13" s="94">
        <f t="shared" si="7"/>
        <v>498000</v>
      </c>
      <c r="U13" s="95">
        <f t="shared" si="8"/>
        <v>1992000</v>
      </c>
      <c r="V13" s="96" t="e">
        <f t="shared" si="9"/>
        <v>#DIV/0!</v>
      </c>
      <c r="W13" s="97" t="e">
        <f t="shared" si="10"/>
        <v>#DIV/0!</v>
      </c>
      <c r="X13" s="98"/>
      <c r="Y13" s="99" t="str">
        <f t="shared" si="11"/>
        <v xml:space="preserve"> </v>
      </c>
      <c r="Z13" s="125">
        <v>600</v>
      </c>
      <c r="AA13" s="94">
        <f t="shared" si="12"/>
        <v>600</v>
      </c>
      <c r="AB13" s="95" t="e">
        <f t="shared" si="13"/>
        <v>#DIV/0!</v>
      </c>
      <c r="AC13" s="95" t="e">
        <f t="shared" si="14"/>
        <v>#DIV/0!</v>
      </c>
      <c r="AD13" s="120">
        <v>1</v>
      </c>
    </row>
    <row r="14" spans="1:30" s="10" customFormat="1" ht="50.25" hidden="1" customHeight="1" outlineLevel="1" x14ac:dyDescent="0.3">
      <c r="A14" s="126">
        <f>_xlfn.AGGREGATE(3,5,$B$5:B14)</f>
        <v>0</v>
      </c>
      <c r="B14" s="127" t="str">
        <f>[15]BOq!B27</f>
        <v>Cáp HDMI 15m Unitek</v>
      </c>
      <c r="C14" s="128" t="s">
        <v>98</v>
      </c>
      <c r="D14" s="129">
        <v>4</v>
      </c>
      <c r="E14" s="130">
        <v>400000</v>
      </c>
      <c r="F14" s="130">
        <f t="shared" si="0"/>
        <v>1600000</v>
      </c>
      <c r="G14" s="131"/>
      <c r="H14" s="123">
        <v>0.625</v>
      </c>
      <c r="I14" s="89">
        <f t="shared" si="1"/>
        <v>650000</v>
      </c>
      <c r="J14" s="132">
        <f t="shared" si="2"/>
        <v>2600000</v>
      </c>
      <c r="K14" s="132">
        <f t="shared" si="3"/>
        <v>1000000</v>
      </c>
      <c r="L14" s="133"/>
      <c r="M14" s="92">
        <f>3475000/305</f>
        <v>11393.442622950819</v>
      </c>
      <c r="N14" s="303">
        <v>0.1</v>
      </c>
      <c r="O14" s="115">
        <f>M14*(1-N14)</f>
        <v>10254.098360655737</v>
      </c>
      <c r="P14" s="302">
        <f>O14/E14</f>
        <v>2.5635245901639341E-2</v>
      </c>
      <c r="Q14" s="134"/>
      <c r="R14" s="93">
        <f t="shared" si="6"/>
        <v>4</v>
      </c>
      <c r="S14" s="94">
        <f t="shared" si="6"/>
        <v>400000</v>
      </c>
      <c r="T14" s="94">
        <f t="shared" si="7"/>
        <v>650000</v>
      </c>
      <c r="U14" s="95">
        <f t="shared" si="8"/>
        <v>2600000</v>
      </c>
      <c r="V14" s="96">
        <f t="shared" si="9"/>
        <v>650000</v>
      </c>
      <c r="W14" s="97">
        <f t="shared" si="10"/>
        <v>0</v>
      </c>
      <c r="X14" s="98"/>
      <c r="Y14" s="99" t="str">
        <f t="shared" si="11"/>
        <v xml:space="preserve"> </v>
      </c>
      <c r="Z14" s="135">
        <v>3200</v>
      </c>
      <c r="AA14" s="94">
        <f t="shared" si="12"/>
        <v>3200</v>
      </c>
      <c r="AB14" s="95">
        <f t="shared" si="13"/>
        <v>650000</v>
      </c>
      <c r="AC14" s="95">
        <f t="shared" si="14"/>
        <v>2080000000</v>
      </c>
      <c r="AD14" s="101"/>
    </row>
    <row r="15" spans="1:30" ht="50.25" customHeight="1" collapsed="1" x14ac:dyDescent="0.5">
      <c r="A15" s="136" t="s">
        <v>168</v>
      </c>
      <c r="B15" s="137" t="s">
        <v>169</v>
      </c>
      <c r="C15" s="138"/>
      <c r="D15" s="138"/>
      <c r="E15" s="138"/>
      <c r="F15" s="139">
        <f>SUBTOTAL(9,F16:F22)</f>
        <v>48256885.245901644</v>
      </c>
      <c r="G15" s="138"/>
      <c r="H15" s="140">
        <f>K15/F15</f>
        <v>0.78453291299636152</v>
      </c>
      <c r="I15" s="138"/>
      <c r="J15" s="141">
        <f>SUBTOTAL(9,J16:J22)</f>
        <v>86116000</v>
      </c>
      <c r="K15" s="141">
        <f>SUBTOTAL(9,K16:K22)</f>
        <v>37859114.754098356</v>
      </c>
      <c r="L15" s="142"/>
      <c r="M15" s="55"/>
      <c r="N15" s="56"/>
      <c r="O15" s="55"/>
      <c r="P15" s="56"/>
      <c r="Q15" s="427"/>
      <c r="R15" s="427"/>
      <c r="S15" s="427"/>
      <c r="T15" s="427"/>
      <c r="U15" s="427"/>
      <c r="V15" s="427"/>
      <c r="W15" s="427"/>
      <c r="X15" s="427"/>
      <c r="Y15" s="427"/>
      <c r="Z15" s="427"/>
      <c r="AA15" s="427"/>
      <c r="AB15" s="427"/>
      <c r="AC15" s="427"/>
      <c r="AD15" s="427"/>
    </row>
    <row r="16" spans="1:30" s="10" customFormat="1" ht="50.25" hidden="1" customHeight="1" outlineLevel="1" x14ac:dyDescent="0.3">
      <c r="A16" s="143">
        <v>1</v>
      </c>
      <c r="B16" s="144" t="s">
        <v>58</v>
      </c>
      <c r="C16" s="104" t="s">
        <v>170</v>
      </c>
      <c r="D16" s="145">
        <v>400</v>
      </c>
      <c r="E16" s="146">
        <v>2300</v>
      </c>
      <c r="F16" s="146">
        <f t="shared" ref="F16:F22" si="15">E16*D16</f>
        <v>920000</v>
      </c>
      <c r="G16" s="147"/>
      <c r="H16" s="148">
        <v>1.4</v>
      </c>
      <c r="I16" s="149">
        <f>ROUNDUP((E16+G16+E16*H16),-2)</f>
        <v>5600</v>
      </c>
      <c r="J16" s="150">
        <f t="shared" ref="J16:J22" si="16">I16*D16</f>
        <v>2240000</v>
      </c>
      <c r="K16" s="150">
        <f t="shared" ref="K16:K22" si="17">J16-F16</f>
        <v>1320000</v>
      </c>
      <c r="L16" s="151"/>
      <c r="M16" s="92"/>
      <c r="N16" s="303"/>
      <c r="O16" s="92"/>
      <c r="P16" s="302">
        <f>O16/E16</f>
        <v>0</v>
      </c>
      <c r="Q16" s="421"/>
      <c r="R16" s="93">
        <f t="shared" ref="R16:S21" si="18">D16</f>
        <v>400</v>
      </c>
      <c r="S16" s="94">
        <f t="shared" si="18"/>
        <v>2300</v>
      </c>
      <c r="T16" s="94">
        <f>I16</f>
        <v>5600</v>
      </c>
      <c r="U16" s="95">
        <f>T16*R16</f>
        <v>2240000</v>
      </c>
      <c r="V16" s="96" t="e">
        <f>IF(AD16=1,U16*$U$2/R16+T16,T16)</f>
        <v>#DIV/0!</v>
      </c>
      <c r="W16" s="97" t="e">
        <f>1-T16/V16</f>
        <v>#DIV/0!</v>
      </c>
      <c r="X16" s="98">
        <v>34000</v>
      </c>
      <c r="Y16" s="99">
        <f>IF(X16&lt;&gt;0,1-T16/X16," ")</f>
        <v>0.83529411764705885</v>
      </c>
      <c r="Z16" s="100"/>
      <c r="AA16" s="94">
        <f t="shared" ref="AA16:AA22" si="19">IF(Z16&lt;&gt;0,Z16,R16)</f>
        <v>400</v>
      </c>
      <c r="AB16" s="95">
        <f>IF(X16&lt;&gt;0, X16,V16)</f>
        <v>34000</v>
      </c>
      <c r="AC16" s="95">
        <f>AA16*AB16</f>
        <v>13600000</v>
      </c>
      <c r="AD16" s="101">
        <v>1</v>
      </c>
    </row>
    <row r="17" spans="1:30" s="10" customFormat="1" ht="50.25" hidden="1" customHeight="1" outlineLevel="1" x14ac:dyDescent="0.3">
      <c r="A17" s="102">
        <v>2</v>
      </c>
      <c r="B17" s="113" t="s">
        <v>61</v>
      </c>
      <c r="C17" s="104" t="s">
        <v>170</v>
      </c>
      <c r="D17" s="105">
        <v>7300</v>
      </c>
      <c r="E17" s="106">
        <v>4655.7377049180332</v>
      </c>
      <c r="F17" s="106">
        <f t="shared" si="15"/>
        <v>33986885.245901644</v>
      </c>
      <c r="G17" s="107"/>
      <c r="H17" s="108">
        <v>0.92</v>
      </c>
      <c r="I17" s="89">
        <f>ROUNDUP((E17+G17+E17*H17),-2)</f>
        <v>9000</v>
      </c>
      <c r="J17" s="109">
        <f t="shared" si="16"/>
        <v>65700000</v>
      </c>
      <c r="K17" s="109">
        <f t="shared" si="17"/>
        <v>31713114.754098356</v>
      </c>
      <c r="L17" s="110"/>
      <c r="M17" s="92"/>
      <c r="N17" s="303"/>
      <c r="O17" s="92"/>
      <c r="P17" s="303"/>
      <c r="Q17" s="421"/>
      <c r="R17" s="93">
        <f t="shared" si="18"/>
        <v>7300</v>
      </c>
      <c r="S17" s="94">
        <f t="shared" si="18"/>
        <v>4655.7377049180332</v>
      </c>
      <c r="T17" s="94">
        <f>I17</f>
        <v>9000</v>
      </c>
      <c r="U17" s="95">
        <f>T17*R17</f>
        <v>65700000</v>
      </c>
      <c r="V17" s="96">
        <f>IF(AD17=1,U17*$U$2/R17+T17,T17)</f>
        <v>9000</v>
      </c>
      <c r="W17" s="97">
        <f>1-T17/V17</f>
        <v>0</v>
      </c>
      <c r="X17" s="98">
        <v>1050000</v>
      </c>
      <c r="Y17" s="99">
        <f>IF(X17&lt;&gt;0,1-T17/X17," ")</f>
        <v>0.99142857142857144</v>
      </c>
      <c r="Z17" s="100"/>
      <c r="AA17" s="94">
        <f t="shared" si="19"/>
        <v>7300</v>
      </c>
      <c r="AB17" s="95">
        <f>IF(X17&lt;&gt;0, X17,V17)</f>
        <v>1050000</v>
      </c>
      <c r="AC17" s="95">
        <f>AA17*AB17</f>
        <v>7665000000</v>
      </c>
      <c r="AD17" s="101"/>
    </row>
    <row r="18" spans="1:30" s="12" customFormat="1" ht="50.25" hidden="1" customHeight="1" outlineLevel="1" x14ac:dyDescent="0.3">
      <c r="A18" s="104">
        <v>3</v>
      </c>
      <c r="B18" s="113" t="s">
        <v>171</v>
      </c>
      <c r="C18" s="104" t="s">
        <v>172</v>
      </c>
      <c r="D18" s="105">
        <v>4</v>
      </c>
      <c r="E18" s="106">
        <v>600000</v>
      </c>
      <c r="F18" s="106">
        <f t="shared" si="15"/>
        <v>2400000</v>
      </c>
      <c r="G18" s="118"/>
      <c r="H18" s="108">
        <v>0.8</v>
      </c>
      <c r="I18" s="89">
        <f>ROUNDUP((E18+G18+E18*H18),-3)</f>
        <v>1080000</v>
      </c>
      <c r="J18" s="109">
        <f t="shared" si="16"/>
        <v>4320000</v>
      </c>
      <c r="K18" s="109">
        <f t="shared" si="17"/>
        <v>1920000</v>
      </c>
      <c r="L18" s="114"/>
      <c r="M18" s="152"/>
      <c r="N18" s="302"/>
      <c r="O18" s="115">
        <f>M18*(1-N18)</f>
        <v>0</v>
      </c>
      <c r="P18" s="302">
        <f>O18/E18</f>
        <v>0</v>
      </c>
      <c r="Q18" s="119"/>
      <c r="R18" s="93">
        <f t="shared" si="18"/>
        <v>4</v>
      </c>
      <c r="S18" s="94">
        <f t="shared" si="18"/>
        <v>600000</v>
      </c>
      <c r="T18" s="94">
        <f>I18</f>
        <v>1080000</v>
      </c>
      <c r="U18" s="95">
        <f>T18*R18</f>
        <v>4320000</v>
      </c>
      <c r="V18" s="96" t="e">
        <f>IF(AD18=1,U18*$U$2/R18+T18,T18)</f>
        <v>#DIV/0!</v>
      </c>
      <c r="W18" s="97" t="e">
        <f>1-T18/V18</f>
        <v>#DIV/0!</v>
      </c>
      <c r="X18" s="98"/>
      <c r="Y18" s="99" t="str">
        <f>IF(X18&lt;&gt;0,1-T18/X18," ")</f>
        <v xml:space="preserve"> </v>
      </c>
      <c r="Z18" s="100"/>
      <c r="AA18" s="94">
        <f t="shared" si="19"/>
        <v>4</v>
      </c>
      <c r="AB18" s="95" t="e">
        <f>IF(X18&lt;&gt;0, X18,V18)</f>
        <v>#DIV/0!</v>
      </c>
      <c r="AC18" s="95" t="e">
        <f>AA18*AB18</f>
        <v>#DIV/0!</v>
      </c>
      <c r="AD18" s="120">
        <v>1</v>
      </c>
    </row>
    <row r="19" spans="1:30" s="10" customFormat="1" ht="50.25" hidden="1" customHeight="1" outlineLevel="1" x14ac:dyDescent="0.3">
      <c r="A19" s="104">
        <v>4</v>
      </c>
      <c r="B19" s="113" t="s">
        <v>71</v>
      </c>
      <c r="C19" s="104" t="s">
        <v>38</v>
      </c>
      <c r="D19" s="105">
        <v>2</v>
      </c>
      <c r="E19" s="106">
        <v>700000</v>
      </c>
      <c r="F19" s="106">
        <f t="shared" si="15"/>
        <v>1400000</v>
      </c>
      <c r="G19" s="107"/>
      <c r="H19" s="108">
        <v>0.45</v>
      </c>
      <c r="I19" s="89">
        <f>ROUNDUP((E19+G19+E19*H19),-3)</f>
        <v>1015000</v>
      </c>
      <c r="J19" s="109">
        <f t="shared" si="16"/>
        <v>2030000</v>
      </c>
      <c r="K19" s="109">
        <f t="shared" si="17"/>
        <v>630000</v>
      </c>
      <c r="L19" s="110"/>
      <c r="M19" s="92">
        <v>2300000</v>
      </c>
      <c r="N19" s="303">
        <v>0.25</v>
      </c>
      <c r="O19" s="115">
        <f>M19*(1-N19)</f>
        <v>1725000</v>
      </c>
      <c r="P19" s="302">
        <f>O19/E19</f>
        <v>2.4642857142857144</v>
      </c>
      <c r="Q19" s="421"/>
      <c r="R19" s="93">
        <f t="shared" si="18"/>
        <v>2</v>
      </c>
      <c r="S19" s="94">
        <f t="shared" si="18"/>
        <v>700000</v>
      </c>
      <c r="T19" s="94">
        <f>I19</f>
        <v>1015000</v>
      </c>
      <c r="U19" s="95">
        <f>T19*R19</f>
        <v>2030000</v>
      </c>
      <c r="V19" s="96" t="e">
        <f>IF(AD19=1,U19*$U$2/R19+T19,T19)</f>
        <v>#DIV/0!</v>
      </c>
      <c r="W19" s="97" t="e">
        <f>1-T19/V19</f>
        <v>#DIV/0!</v>
      </c>
      <c r="X19" s="98">
        <v>2590000</v>
      </c>
      <c r="Y19" s="99">
        <f>IF(X19&lt;&gt;0,1-T19/X19," ")</f>
        <v>0.60810810810810811</v>
      </c>
      <c r="Z19" s="100"/>
      <c r="AA19" s="94">
        <f t="shared" si="19"/>
        <v>2</v>
      </c>
      <c r="AB19" s="95">
        <f>IF(X19&lt;&gt;0, X19,V19)</f>
        <v>2590000</v>
      </c>
      <c r="AC19" s="95">
        <f>AA19*AB19</f>
        <v>5180000</v>
      </c>
      <c r="AD19" s="101">
        <v>1</v>
      </c>
    </row>
    <row r="20" spans="1:30" s="10" customFormat="1" ht="50.25" hidden="1" customHeight="1" outlineLevel="1" x14ac:dyDescent="0.3">
      <c r="A20" s="104">
        <v>5</v>
      </c>
      <c r="B20" s="113" t="s">
        <v>173</v>
      </c>
      <c r="C20" s="104" t="s">
        <v>38</v>
      </c>
      <c r="D20" s="105">
        <v>2</v>
      </c>
      <c r="E20" s="106">
        <v>1400000</v>
      </c>
      <c r="F20" s="106">
        <f t="shared" si="15"/>
        <v>2800000</v>
      </c>
      <c r="G20" s="107"/>
      <c r="H20" s="108">
        <v>0.17</v>
      </c>
      <c r="I20" s="89">
        <f>ROUNDUP((E20+G20+E20*H20),-3)</f>
        <v>1638000</v>
      </c>
      <c r="J20" s="109">
        <f t="shared" si="16"/>
        <v>3276000</v>
      </c>
      <c r="K20" s="109">
        <f t="shared" si="17"/>
        <v>476000</v>
      </c>
      <c r="L20" s="110"/>
      <c r="M20" s="92">
        <v>2300000</v>
      </c>
      <c r="N20" s="303">
        <v>0.25</v>
      </c>
      <c r="O20" s="115">
        <f>M20*(1-N20)</f>
        <v>1725000</v>
      </c>
      <c r="P20" s="302">
        <f>O20/E20</f>
        <v>1.2321428571428572</v>
      </c>
      <c r="Q20" s="421"/>
      <c r="R20" s="93">
        <f t="shared" si="18"/>
        <v>2</v>
      </c>
      <c r="S20" s="94">
        <f t="shared" si="18"/>
        <v>1400000</v>
      </c>
      <c r="T20" s="94">
        <f>I20</f>
        <v>1638000</v>
      </c>
      <c r="U20" s="95">
        <f>T20*R20</f>
        <v>3276000</v>
      </c>
      <c r="V20" s="96" t="e">
        <f>IF(AD20=1,U20*$U$2/R20+T20,T20)</f>
        <v>#DIV/0!</v>
      </c>
      <c r="W20" s="97" t="e">
        <f>1-T20/V20</f>
        <v>#DIV/0!</v>
      </c>
      <c r="X20" s="98">
        <v>2590000</v>
      </c>
      <c r="Y20" s="99">
        <f>IF(X20&lt;&gt;0,1-T20/X20," ")</f>
        <v>0.36756756756756759</v>
      </c>
      <c r="Z20" s="100"/>
      <c r="AA20" s="94">
        <f t="shared" si="19"/>
        <v>2</v>
      </c>
      <c r="AB20" s="95">
        <f>IF(X20&lt;&gt;0, X20,V20)</f>
        <v>2590000</v>
      </c>
      <c r="AC20" s="95">
        <f>AA20*AB20</f>
        <v>5180000</v>
      </c>
      <c r="AD20" s="101">
        <v>1</v>
      </c>
    </row>
    <row r="21" spans="1:30" s="10" customFormat="1" ht="50.25" hidden="1" customHeight="1" outlineLevel="1" x14ac:dyDescent="0.3">
      <c r="A21" s="104">
        <v>6</v>
      </c>
      <c r="B21" s="113" t="s">
        <v>174</v>
      </c>
      <c r="C21" s="104" t="s">
        <v>38</v>
      </c>
      <c r="D21" s="105">
        <v>1</v>
      </c>
      <c r="E21" s="106">
        <v>6300000</v>
      </c>
      <c r="F21" s="106">
        <f t="shared" si="15"/>
        <v>6300000</v>
      </c>
      <c r="G21" s="107"/>
      <c r="H21" s="108">
        <v>0.25</v>
      </c>
      <c r="I21" s="89">
        <f>ROUNDUP((E21+G21+E21*H21),-3)</f>
        <v>7875000</v>
      </c>
      <c r="J21" s="109">
        <f t="shared" si="16"/>
        <v>7875000</v>
      </c>
      <c r="K21" s="109">
        <f t="shared" si="17"/>
        <v>1575000</v>
      </c>
      <c r="L21" s="110"/>
      <c r="M21" s="92">
        <f>I21/32</f>
        <v>246093.75</v>
      </c>
      <c r="N21" s="303"/>
      <c r="O21" s="115"/>
      <c r="P21" s="302"/>
      <c r="Q21" s="421"/>
      <c r="R21" s="93">
        <f t="shared" si="18"/>
        <v>1</v>
      </c>
      <c r="S21" s="94">
        <f t="shared" si="18"/>
        <v>6300000</v>
      </c>
      <c r="T21" s="94"/>
      <c r="U21" s="95"/>
      <c r="V21" s="96"/>
      <c r="W21" s="97"/>
      <c r="X21" s="98"/>
      <c r="Y21" s="99"/>
      <c r="Z21" s="100"/>
      <c r="AA21" s="94">
        <f t="shared" si="19"/>
        <v>1</v>
      </c>
      <c r="AB21" s="95"/>
      <c r="AC21" s="95"/>
      <c r="AD21" s="101"/>
    </row>
    <row r="22" spans="1:30" s="10" customFormat="1" ht="50.25" hidden="1" customHeight="1" outlineLevel="1" x14ac:dyDescent="0.3">
      <c r="A22" s="126">
        <v>7</v>
      </c>
      <c r="B22" s="153" t="s">
        <v>175</v>
      </c>
      <c r="C22" s="154" t="s">
        <v>38</v>
      </c>
      <c r="D22" s="129">
        <v>1</v>
      </c>
      <c r="E22" s="130">
        <v>450000</v>
      </c>
      <c r="F22" s="130">
        <f t="shared" si="15"/>
        <v>450000</v>
      </c>
      <c r="G22" s="131"/>
      <c r="H22" s="123">
        <v>0.5</v>
      </c>
      <c r="I22" s="155">
        <f>ROUNDUP((E22+G22+E22*H22),-3)</f>
        <v>675000</v>
      </c>
      <c r="J22" s="132">
        <f t="shared" si="16"/>
        <v>675000</v>
      </c>
      <c r="K22" s="132">
        <f t="shared" si="17"/>
        <v>225000</v>
      </c>
      <c r="L22" s="156"/>
      <c r="M22" s="157"/>
      <c r="N22" s="303"/>
      <c r="O22" s="92"/>
      <c r="P22" s="303"/>
      <c r="Q22" s="421"/>
      <c r="R22" s="93">
        <f>D22</f>
        <v>1</v>
      </c>
      <c r="S22" s="94"/>
      <c r="T22" s="94"/>
      <c r="U22" s="95"/>
      <c r="V22" s="96"/>
      <c r="W22" s="97"/>
      <c r="X22" s="98"/>
      <c r="Y22" s="99"/>
      <c r="Z22" s="100"/>
      <c r="AA22" s="94">
        <f t="shared" si="19"/>
        <v>1</v>
      </c>
      <c r="AB22" s="95"/>
      <c r="AC22" s="95"/>
      <c r="AD22" s="101"/>
    </row>
    <row r="23" spans="1:30" s="14" customFormat="1" ht="41.25" customHeight="1" collapsed="1" x14ac:dyDescent="0.3">
      <c r="A23" s="158" t="s">
        <v>176</v>
      </c>
      <c r="B23" s="159" t="s">
        <v>177</v>
      </c>
      <c r="C23" s="160"/>
      <c r="D23" s="161"/>
      <c r="E23" s="162"/>
      <c r="F23" s="141">
        <f>SUBTOTAL(9,F24:F25)</f>
        <v>5760000</v>
      </c>
      <c r="G23" s="163"/>
      <c r="H23" s="164">
        <f>K23/SUM(F23:F23)</f>
        <v>0.10416666666666667</v>
      </c>
      <c r="I23" s="165"/>
      <c r="J23" s="141">
        <f>SUBTOTAL(9,J24:J25)</f>
        <v>6360000</v>
      </c>
      <c r="K23" s="141">
        <f>SUBTOTAL(9,K24:K25)</f>
        <v>600000</v>
      </c>
      <c r="L23" s="166"/>
      <c r="M23" s="167"/>
      <c r="N23" s="168"/>
      <c r="O23" s="169"/>
      <c r="P23" s="170"/>
      <c r="Q23" s="171"/>
      <c r="R23" s="172"/>
      <c r="S23" s="172"/>
      <c r="T23" s="173"/>
      <c r="U23" s="174"/>
      <c r="V23" s="175"/>
      <c r="W23" s="176"/>
      <c r="X23" s="177"/>
      <c r="Y23" s="178"/>
      <c r="Z23" s="172"/>
      <c r="AA23" s="173"/>
      <c r="AB23" s="173"/>
      <c r="AC23" s="178"/>
      <c r="AD23" s="170"/>
    </row>
    <row r="24" spans="1:30" s="13" customFormat="1" ht="41.25" hidden="1" customHeight="1" outlineLevel="1" x14ac:dyDescent="0.3">
      <c r="A24" s="143">
        <v>1</v>
      </c>
      <c r="B24" s="144" t="s">
        <v>178</v>
      </c>
      <c r="C24" s="179" t="s">
        <v>170</v>
      </c>
      <c r="D24" s="145">
        <v>150</v>
      </c>
      <c r="E24" s="180">
        <v>20000</v>
      </c>
      <c r="F24" s="180">
        <f>E24*D24</f>
        <v>3000000</v>
      </c>
      <c r="G24" s="181"/>
      <c r="H24" s="182">
        <v>0.09</v>
      </c>
      <c r="I24" s="149">
        <f>ROUNDUP((E24+G24+E24*H24),-2)</f>
        <v>21800</v>
      </c>
      <c r="J24" s="183">
        <f>I24*D24</f>
        <v>3270000</v>
      </c>
      <c r="K24" s="183">
        <f>J24-F24</f>
        <v>270000</v>
      </c>
      <c r="L24" s="184"/>
      <c r="M24" s="92">
        <f>2800/305</f>
        <v>9.1803278688524586</v>
      </c>
      <c r="N24" s="303"/>
      <c r="O24" s="92"/>
      <c r="P24" s="303"/>
      <c r="Q24" s="421"/>
      <c r="R24" s="93">
        <f>D24</f>
        <v>150</v>
      </c>
      <c r="S24" s="94">
        <f>E24</f>
        <v>20000</v>
      </c>
      <c r="T24" s="94">
        <f>I24</f>
        <v>21800</v>
      </c>
      <c r="U24" s="95">
        <f>T24*R24</f>
        <v>3270000</v>
      </c>
      <c r="V24" s="96" t="e">
        <f>IF(AD24=1,U24*$U$2/R24+T24,T24)</f>
        <v>#DIV/0!</v>
      </c>
      <c r="W24" s="97" t="e">
        <f>1-T24/V24</f>
        <v>#DIV/0!</v>
      </c>
      <c r="X24" s="98">
        <v>5000</v>
      </c>
      <c r="Y24" s="99">
        <f>IF(X24&lt;&gt;0,1-T24/X24," ")</f>
        <v>-3.3600000000000003</v>
      </c>
      <c r="Z24" s="125">
        <v>1350</v>
      </c>
      <c r="AA24" s="94">
        <f t="shared" ref="AA24:AA29" si="20">IF(Z24&lt;&gt;0,Z24,R24)</f>
        <v>1350</v>
      </c>
      <c r="AB24" s="95">
        <f>IF(X24&lt;&gt;0, X24,V24)</f>
        <v>5000</v>
      </c>
      <c r="AC24" s="95">
        <f>AA24*AB24</f>
        <v>6750000</v>
      </c>
      <c r="AD24" s="101">
        <v>1</v>
      </c>
    </row>
    <row r="25" spans="1:30" s="13" customFormat="1" ht="63.75" hidden="1" customHeight="1" outlineLevel="1" x14ac:dyDescent="0.3">
      <c r="A25" s="126">
        <v>2</v>
      </c>
      <c r="B25" s="127" t="s">
        <v>83</v>
      </c>
      <c r="C25" s="126" t="s">
        <v>38</v>
      </c>
      <c r="D25" s="185">
        <v>3</v>
      </c>
      <c r="E25" s="130">
        <v>920000</v>
      </c>
      <c r="F25" s="130">
        <f>E25*D25</f>
        <v>2760000</v>
      </c>
      <c r="G25" s="131"/>
      <c r="H25" s="123">
        <v>0.11899999999999999</v>
      </c>
      <c r="I25" s="155">
        <f>ROUNDUP((E25+G25+E25*H25),-3)</f>
        <v>1030000</v>
      </c>
      <c r="J25" s="132">
        <f>I25*D25</f>
        <v>3090000</v>
      </c>
      <c r="K25" s="132">
        <f>J25-F25</f>
        <v>330000</v>
      </c>
      <c r="L25" s="156"/>
      <c r="M25" s="92"/>
      <c r="N25" s="303"/>
      <c r="O25" s="92"/>
      <c r="P25" s="303"/>
      <c r="Q25" s="421"/>
      <c r="R25" s="93">
        <f>D25</f>
        <v>3</v>
      </c>
      <c r="S25" s="94">
        <f>E25</f>
        <v>920000</v>
      </c>
      <c r="T25" s="94">
        <f>I25</f>
        <v>1030000</v>
      </c>
      <c r="U25" s="95">
        <f>T25*R25</f>
        <v>3090000</v>
      </c>
      <c r="V25" s="96">
        <f>IF(AD25=1,U25*$U$2/R25+T25,T25)</f>
        <v>1030000</v>
      </c>
      <c r="W25" s="97">
        <f>1-T25/V25</f>
        <v>0</v>
      </c>
      <c r="X25" s="98"/>
      <c r="Y25" s="99" t="str">
        <f>IF(X25&lt;&gt;0,1-T25/X25," ")</f>
        <v xml:space="preserve"> </v>
      </c>
      <c r="Z25" s="100"/>
      <c r="AA25" s="94">
        <f t="shared" si="20"/>
        <v>3</v>
      </c>
      <c r="AB25" s="95">
        <f>IF(X25&lt;&gt;0, X25,V25)</f>
        <v>1030000</v>
      </c>
      <c r="AC25" s="95">
        <f>AA25*AB25</f>
        <v>3090000</v>
      </c>
      <c r="AD25" s="101"/>
    </row>
    <row r="26" spans="1:30" s="12" customFormat="1" ht="45.75" customHeight="1" collapsed="1" x14ac:dyDescent="0.3">
      <c r="A26" s="186" t="s">
        <v>179</v>
      </c>
      <c r="B26" s="159" t="s">
        <v>180</v>
      </c>
      <c r="C26" s="187"/>
      <c r="D26" s="187"/>
      <c r="E26" s="188"/>
      <c r="F26" s="189">
        <f>SUBTOTAL(9,F27:F29)</f>
        <v>21826363.636363633</v>
      </c>
      <c r="G26" s="190"/>
      <c r="H26" s="191">
        <f>K26/SUM(F26:F26)</f>
        <v>0.25009371485692872</v>
      </c>
      <c r="I26" s="192"/>
      <c r="J26" s="189">
        <f>SUBTOTAL(9,J27:J29)</f>
        <v>27285000</v>
      </c>
      <c r="K26" s="189">
        <f>SUBTOTAL(9,K27:K29)</f>
        <v>5458636.3636363642</v>
      </c>
      <c r="L26" s="193"/>
      <c r="M26" s="115"/>
      <c r="N26" s="302" t="e">
        <f>#REF!+#REF!</f>
        <v>#REF!</v>
      </c>
      <c r="O26" s="115"/>
      <c r="P26" s="302"/>
      <c r="Q26" s="119"/>
      <c r="R26" s="93">
        <f>D26</f>
        <v>0</v>
      </c>
      <c r="S26" s="94"/>
      <c r="T26" s="94"/>
      <c r="U26" s="95">
        <f>T26*R26</f>
        <v>0</v>
      </c>
      <c r="V26" s="96">
        <f>IF(AD26=1,U26*$U$2/R26+T26,T26)</f>
        <v>0</v>
      </c>
      <c r="W26" s="97"/>
      <c r="X26" s="98"/>
      <c r="Y26" s="99" t="str">
        <f>IF(X26&lt;&gt;0,1-T26/X26," ")</f>
        <v xml:space="preserve"> </v>
      </c>
      <c r="Z26" s="120"/>
      <c r="AA26" s="94">
        <f t="shared" si="20"/>
        <v>0</v>
      </c>
      <c r="AB26" s="95">
        <f>IF(X26&lt;&gt;0, X26,V26)</f>
        <v>0</v>
      </c>
      <c r="AC26" s="95">
        <f>AA26*AB26</f>
        <v>0</v>
      </c>
      <c r="AD26" s="120"/>
    </row>
    <row r="27" spans="1:30" s="10" customFormat="1" ht="45.75" customHeight="1" x14ac:dyDescent="0.3">
      <c r="A27" s="194">
        <v>1</v>
      </c>
      <c r="B27" s="195" t="s">
        <v>181</v>
      </c>
      <c r="C27" s="84" t="s">
        <v>172</v>
      </c>
      <c r="D27" s="85">
        <v>2</v>
      </c>
      <c r="E27" s="196">
        <f>5700000/1.1</f>
        <v>5181818.1818181816</v>
      </c>
      <c r="F27" s="196">
        <f>E27*D27</f>
        <v>10363636.363636363</v>
      </c>
      <c r="G27" s="197"/>
      <c r="H27" s="198">
        <v>0.25</v>
      </c>
      <c r="I27" s="199">
        <f>ROUNDUP((E27+G27+E27*H27),-3)</f>
        <v>6478000</v>
      </c>
      <c r="J27" s="200">
        <f>I27*D27</f>
        <v>12956000</v>
      </c>
      <c r="K27" s="200">
        <f>J27-F27</f>
        <v>2592363.6363636367</v>
      </c>
      <c r="L27" s="201"/>
      <c r="M27" s="92"/>
      <c r="N27" s="303"/>
      <c r="O27" s="92"/>
      <c r="P27" s="303"/>
      <c r="Q27" s="421"/>
      <c r="R27" s="93">
        <f>D27</f>
        <v>2</v>
      </c>
      <c r="S27" s="94">
        <f>E27</f>
        <v>5181818.1818181816</v>
      </c>
      <c r="T27" s="94">
        <f>I27</f>
        <v>6478000</v>
      </c>
      <c r="U27" s="95">
        <f>T27*R27</f>
        <v>12956000</v>
      </c>
      <c r="V27" s="96" t="e">
        <f>IF(AD27=1,U27*$U$2/R27+T27,T27)</f>
        <v>#DIV/0!</v>
      </c>
      <c r="W27" s="97" t="e">
        <f>1-T27/V27</f>
        <v>#DIV/0!</v>
      </c>
      <c r="X27" s="98">
        <v>7120000</v>
      </c>
      <c r="Y27" s="99">
        <f>IF(X27&lt;&gt;0,1-T27/X27," ")</f>
        <v>9.0168539325842678E-2</v>
      </c>
      <c r="Z27" s="101"/>
      <c r="AA27" s="94">
        <f t="shared" si="20"/>
        <v>2</v>
      </c>
      <c r="AB27" s="95">
        <f>IF(X27&lt;&gt;0, X27,V27)</f>
        <v>7120000</v>
      </c>
      <c r="AC27" s="95">
        <f>AA27*AB27</f>
        <v>14240000</v>
      </c>
      <c r="AD27" s="101">
        <v>1</v>
      </c>
    </row>
    <row r="28" spans="1:30" s="10" customFormat="1" ht="45.75" customHeight="1" x14ac:dyDescent="0.3">
      <c r="A28" s="202">
        <v>2</v>
      </c>
      <c r="B28" s="103" t="s">
        <v>182</v>
      </c>
      <c r="C28" s="104" t="s">
        <v>172</v>
      </c>
      <c r="D28" s="105">
        <v>2</v>
      </c>
      <c r="E28" s="196">
        <f>2382000/1.1</f>
        <v>2165454.5454545454</v>
      </c>
      <c r="F28" s="203">
        <f>E28*D28</f>
        <v>4330909.0909090908</v>
      </c>
      <c r="G28" s="118"/>
      <c r="H28" s="198">
        <v>0.25</v>
      </c>
      <c r="I28" s="89">
        <f>ROUNDUP((E28+G28+E28*H28),-3)</f>
        <v>2707000</v>
      </c>
      <c r="J28" s="204">
        <f>I28*D28</f>
        <v>5414000</v>
      </c>
      <c r="K28" s="204">
        <f>J28-F28</f>
        <v>1083090.9090909092</v>
      </c>
      <c r="L28" s="205"/>
      <c r="M28" s="92"/>
      <c r="N28" s="303"/>
      <c r="O28" s="92"/>
      <c r="P28" s="303"/>
      <c r="Q28" s="421"/>
      <c r="R28" s="93">
        <f>D28</f>
        <v>2</v>
      </c>
      <c r="S28" s="94"/>
      <c r="T28" s="94"/>
      <c r="U28" s="95"/>
      <c r="V28" s="96"/>
      <c r="W28" s="97"/>
      <c r="X28" s="98"/>
      <c r="Y28" s="99"/>
      <c r="Z28" s="101"/>
      <c r="AA28" s="94">
        <f t="shared" si="20"/>
        <v>2</v>
      </c>
      <c r="AB28" s="95"/>
      <c r="AC28" s="95"/>
      <c r="AD28" s="101"/>
    </row>
    <row r="29" spans="1:30" s="10" customFormat="1" ht="45.75" customHeight="1" x14ac:dyDescent="0.3">
      <c r="A29" s="206">
        <v>3</v>
      </c>
      <c r="B29" s="207" t="s">
        <v>183</v>
      </c>
      <c r="C29" s="208" t="s">
        <v>172</v>
      </c>
      <c r="D29" s="209">
        <v>1</v>
      </c>
      <c r="E29" s="196">
        <f>7845000/1.1</f>
        <v>7131818.1818181816</v>
      </c>
      <c r="F29" s="210">
        <f>E29*D29</f>
        <v>7131818.1818181816</v>
      </c>
      <c r="G29" s="211"/>
      <c r="H29" s="198">
        <v>0.25</v>
      </c>
      <c r="I29" s="212">
        <f>ROUNDUP((E29+G29+E29*H29),-3)</f>
        <v>8915000</v>
      </c>
      <c r="J29" s="213">
        <f>I29*D29</f>
        <v>8915000</v>
      </c>
      <c r="K29" s="213">
        <f>J29-F29</f>
        <v>1783181.8181818184</v>
      </c>
      <c r="L29" s="214"/>
      <c r="M29" s="92"/>
      <c r="N29" s="303"/>
      <c r="O29" s="92"/>
      <c r="P29" s="303"/>
      <c r="Q29" s="421"/>
      <c r="R29" s="93">
        <f>D29</f>
        <v>1</v>
      </c>
      <c r="S29" s="94"/>
      <c r="T29" s="94"/>
      <c r="U29" s="95"/>
      <c r="V29" s="96"/>
      <c r="W29" s="97"/>
      <c r="X29" s="98"/>
      <c r="Y29" s="99"/>
      <c r="Z29" s="101"/>
      <c r="AA29" s="94">
        <f t="shared" si="20"/>
        <v>1</v>
      </c>
      <c r="AB29" s="95"/>
      <c r="AC29" s="95"/>
      <c r="AD29" s="101"/>
    </row>
    <row r="30" spans="1:30" s="15" customFormat="1" ht="45.75" customHeight="1" x14ac:dyDescent="0.3">
      <c r="A30" s="215" t="s">
        <v>184</v>
      </c>
      <c r="B30" s="215"/>
      <c r="C30" s="216"/>
      <c r="D30" s="216"/>
      <c r="E30" s="216"/>
      <c r="F30" s="139">
        <f>SUBTOTAL(9,F31:F35)</f>
        <v>22472000</v>
      </c>
      <c r="G30" s="216"/>
      <c r="H30" s="217">
        <f>K30/SUM(F30:F30)</f>
        <v>0.46386614453542185</v>
      </c>
      <c r="I30" s="216"/>
      <c r="J30" s="139">
        <f>SUBTOTAL(9,J31:J35)</f>
        <v>32896000</v>
      </c>
      <c r="K30" s="139">
        <f>SUBTOTAL(9,K31:K35)</f>
        <v>10424000</v>
      </c>
      <c r="L30" s="218"/>
      <c r="M30" s="219"/>
      <c r="N30" s="220"/>
      <c r="O30" s="221"/>
      <c r="P30" s="220"/>
      <c r="Q30" s="222"/>
      <c r="R30" s="222"/>
      <c r="S30" s="222"/>
      <c r="T30" s="222"/>
      <c r="U30" s="222"/>
      <c r="V30" s="222"/>
      <c r="W30" s="222"/>
      <c r="X30" s="222"/>
      <c r="Y30" s="222"/>
      <c r="Z30" s="222"/>
      <c r="AA30" s="222"/>
      <c r="AB30" s="222"/>
      <c r="AC30" s="222"/>
      <c r="AD30" s="222"/>
    </row>
    <row r="31" spans="1:30" s="10" customFormat="1" ht="45.75" hidden="1" customHeight="1" outlineLevel="1" x14ac:dyDescent="0.3">
      <c r="A31" s="102">
        <v>1</v>
      </c>
      <c r="B31" s="113" t="s">
        <v>185</v>
      </c>
      <c r="C31" s="202" t="s">
        <v>95</v>
      </c>
      <c r="D31" s="105">
        <v>1</v>
      </c>
      <c r="E31" s="203">
        <v>15000000</v>
      </c>
      <c r="F31" s="203">
        <f>E31*D31</f>
        <v>15000000</v>
      </c>
      <c r="G31" s="223"/>
      <c r="H31" s="224">
        <v>0.4</v>
      </c>
      <c r="I31" s="89">
        <f t="shared" ref="I31:I36" si="21">ROUNDUP((E31+G31+E31*H31),-3)</f>
        <v>21000000</v>
      </c>
      <c r="J31" s="204">
        <f t="shared" ref="J31:J36" si="22">I31*D31</f>
        <v>21000000</v>
      </c>
      <c r="K31" s="204">
        <f t="shared" ref="K31:K36" si="23">J31-F31</f>
        <v>6000000</v>
      </c>
      <c r="L31" s="203"/>
      <c r="M31" s="92"/>
      <c r="N31" s="303"/>
      <c r="O31" s="92"/>
      <c r="P31" s="303"/>
      <c r="Q31" s="421"/>
      <c r="R31" s="93">
        <f t="shared" ref="R31:S34" si="24">D31</f>
        <v>1</v>
      </c>
      <c r="S31" s="94">
        <f t="shared" si="24"/>
        <v>15000000</v>
      </c>
      <c r="T31" s="94">
        <f>I31</f>
        <v>21000000</v>
      </c>
      <c r="U31" s="95">
        <f>T31*R31</f>
        <v>21000000</v>
      </c>
      <c r="V31" s="96" t="e">
        <f>IF(AD31=1,U31*$U$2/R31+T31,T31)</f>
        <v>#DIV/0!</v>
      </c>
      <c r="W31" s="97" t="e">
        <f>1-T31/V31</f>
        <v>#DIV/0!</v>
      </c>
      <c r="X31" s="98">
        <v>19500</v>
      </c>
      <c r="Y31" s="99">
        <f>IF(X31&lt;&gt;0,1-T31/X31," ")</f>
        <v>-1075.9230769230769</v>
      </c>
      <c r="Z31" s="100"/>
      <c r="AA31" s="94">
        <f>IF(Z31&lt;&gt;0,Z31,R31)</f>
        <v>1</v>
      </c>
      <c r="AB31" s="95">
        <f>IF(X31&lt;&gt;0, X31,V31)</f>
        <v>19500</v>
      </c>
      <c r="AC31" s="95">
        <f>AA31*AB31</f>
        <v>19500</v>
      </c>
      <c r="AD31" s="101">
        <v>1</v>
      </c>
    </row>
    <row r="32" spans="1:30" s="10" customFormat="1" ht="45.75" hidden="1" customHeight="1" outlineLevel="1" x14ac:dyDescent="0.3">
      <c r="A32" s="102">
        <v>2</v>
      </c>
      <c r="B32" s="113" t="s">
        <v>186</v>
      </c>
      <c r="C32" s="104" t="s">
        <v>98</v>
      </c>
      <c r="D32" s="105">
        <v>8</v>
      </c>
      <c r="E32" s="106">
        <v>19000</v>
      </c>
      <c r="F32" s="106">
        <f>E32*D32</f>
        <v>152000</v>
      </c>
      <c r="G32" s="107"/>
      <c r="H32" s="108">
        <v>0.4</v>
      </c>
      <c r="I32" s="89">
        <f t="shared" si="21"/>
        <v>27000</v>
      </c>
      <c r="J32" s="109">
        <f t="shared" si="22"/>
        <v>216000</v>
      </c>
      <c r="K32" s="109">
        <f t="shared" si="23"/>
        <v>64000</v>
      </c>
      <c r="L32" s="110"/>
      <c r="M32" s="92"/>
      <c r="N32" s="303"/>
      <c r="O32" s="92"/>
      <c r="P32" s="303">
        <f>O32/E32</f>
        <v>0</v>
      </c>
      <c r="Q32" s="421"/>
      <c r="R32" s="93">
        <f t="shared" si="24"/>
        <v>8</v>
      </c>
      <c r="S32" s="94">
        <f t="shared" si="24"/>
        <v>19000</v>
      </c>
      <c r="T32" s="94">
        <f>I32</f>
        <v>27000</v>
      </c>
      <c r="U32" s="95">
        <f>T32*R32</f>
        <v>216000</v>
      </c>
      <c r="V32" s="96" t="e">
        <f>IF(AD32=1,U32*$U$2/R32+T32,T32)</f>
        <v>#DIV/0!</v>
      </c>
      <c r="W32" s="97" t="e">
        <f>1-T32/V32</f>
        <v>#DIV/0!</v>
      </c>
      <c r="X32" s="98">
        <v>160000</v>
      </c>
      <c r="Y32" s="99">
        <f>IF(X32&lt;&gt;0,1-T32/X32," ")</f>
        <v>0.83125000000000004</v>
      </c>
      <c r="Z32" s="101"/>
      <c r="AA32" s="94">
        <f>IF(Z32&lt;&gt;0,Z32,R32)</f>
        <v>8</v>
      </c>
      <c r="AB32" s="95">
        <f>IF(X32&lt;&gt;0, X32,V32)</f>
        <v>160000</v>
      </c>
      <c r="AC32" s="95">
        <f>AA32*AB32</f>
        <v>1280000</v>
      </c>
      <c r="AD32" s="101">
        <v>1</v>
      </c>
    </row>
    <row r="33" spans="1:30" s="10" customFormat="1" ht="45.75" hidden="1" customHeight="1" outlineLevel="1" x14ac:dyDescent="0.3">
      <c r="A33" s="102">
        <v>3</v>
      </c>
      <c r="B33" s="113" t="s">
        <v>187</v>
      </c>
      <c r="C33" s="202" t="s">
        <v>170</v>
      </c>
      <c r="D33" s="105">
        <v>1700</v>
      </c>
      <c r="E33" s="203">
        <f>150000/50</f>
        <v>3000</v>
      </c>
      <c r="F33" s="203">
        <f>E33*D33</f>
        <v>5100000</v>
      </c>
      <c r="G33" s="223"/>
      <c r="H33" s="224">
        <v>0.35</v>
      </c>
      <c r="I33" s="89">
        <f t="shared" si="21"/>
        <v>5000</v>
      </c>
      <c r="J33" s="204">
        <f t="shared" si="22"/>
        <v>8500000</v>
      </c>
      <c r="K33" s="204">
        <f t="shared" si="23"/>
        <v>3400000</v>
      </c>
      <c r="L33" s="225"/>
      <c r="M33" s="92"/>
      <c r="N33" s="303"/>
      <c r="O33" s="92"/>
      <c r="P33" s="303"/>
      <c r="Q33" s="421"/>
      <c r="R33" s="93">
        <f t="shared" si="24"/>
        <v>1700</v>
      </c>
      <c r="S33" s="94">
        <f t="shared" si="24"/>
        <v>3000</v>
      </c>
      <c r="T33" s="94">
        <f>I33</f>
        <v>5000</v>
      </c>
      <c r="U33" s="95">
        <f>T33*R33</f>
        <v>8500000</v>
      </c>
      <c r="V33" s="96" t="e">
        <f>IF(AD33=1,U33*$U$2/R33+T33,T33)</f>
        <v>#DIV/0!</v>
      </c>
      <c r="W33" s="97" t="e">
        <f>1-T33/V33</f>
        <v>#DIV/0!</v>
      </c>
      <c r="X33" s="98"/>
      <c r="Y33" s="99" t="str">
        <f>IF(X33&lt;&gt;0,1-T33/X33," ")</f>
        <v xml:space="preserve"> </v>
      </c>
      <c r="Z33" s="94"/>
      <c r="AA33" s="94">
        <f>IF(Z33&lt;&gt;0,Z33,R33)</f>
        <v>1700</v>
      </c>
      <c r="AB33" s="95" t="e">
        <f>IF(X33&lt;&gt;0, X33,V33)</f>
        <v>#DIV/0!</v>
      </c>
      <c r="AC33" s="95" t="e">
        <f>AA33*AB33</f>
        <v>#DIV/0!</v>
      </c>
      <c r="AD33" s="101">
        <v>1</v>
      </c>
    </row>
    <row r="34" spans="1:30" s="10" customFormat="1" ht="45.75" hidden="1" customHeight="1" outlineLevel="1" x14ac:dyDescent="0.3">
      <c r="A34" s="102">
        <v>4</v>
      </c>
      <c r="B34" s="113" t="s">
        <v>188</v>
      </c>
      <c r="C34" s="104" t="s">
        <v>38</v>
      </c>
      <c r="D34" s="105">
        <v>4</v>
      </c>
      <c r="E34" s="106">
        <v>30000</v>
      </c>
      <c r="F34" s="106">
        <f>E34*D34</f>
        <v>120000</v>
      </c>
      <c r="G34" s="107"/>
      <c r="H34" s="108">
        <v>0.5</v>
      </c>
      <c r="I34" s="89">
        <f t="shared" si="21"/>
        <v>45000</v>
      </c>
      <c r="J34" s="109">
        <f t="shared" si="22"/>
        <v>180000</v>
      </c>
      <c r="K34" s="109">
        <f t="shared" si="23"/>
        <v>60000</v>
      </c>
      <c r="L34" s="110"/>
      <c r="M34" s="157" t="s">
        <v>189</v>
      </c>
      <c r="N34" s="303"/>
      <c r="O34" s="92"/>
      <c r="P34" s="303"/>
      <c r="Q34" s="421"/>
      <c r="R34" s="93">
        <f t="shared" si="24"/>
        <v>4</v>
      </c>
      <c r="S34" s="94">
        <f t="shared" si="24"/>
        <v>30000</v>
      </c>
      <c r="T34" s="94">
        <f>I34</f>
        <v>45000</v>
      </c>
      <c r="U34" s="95">
        <f>T34*R34</f>
        <v>180000</v>
      </c>
      <c r="V34" s="96">
        <f>IF(AD34=1,U34*$U$2/R34+T34,T34)</f>
        <v>45000</v>
      </c>
      <c r="W34" s="97">
        <f>1-T34/V34</f>
        <v>0</v>
      </c>
      <c r="X34" s="98"/>
      <c r="Y34" s="99" t="str">
        <f>IF(X34&lt;&gt;0,1-T34/X34," ")</f>
        <v xml:space="preserve"> </v>
      </c>
      <c r="Z34" s="100"/>
      <c r="AA34" s="94">
        <f>IF(Z34&lt;&gt;0,Z34,R34)</f>
        <v>4</v>
      </c>
      <c r="AB34" s="95">
        <f>IF(X34&lt;&gt;0, X34,V34)</f>
        <v>45000</v>
      </c>
      <c r="AC34" s="95">
        <f>AA34*AB34</f>
        <v>180000</v>
      </c>
      <c r="AD34" s="101"/>
    </row>
    <row r="35" spans="1:30" s="10" customFormat="1" ht="45.75" hidden="1" customHeight="1" outlineLevel="1" x14ac:dyDescent="0.3">
      <c r="A35" s="226">
        <v>5</v>
      </c>
      <c r="B35" s="227" t="s">
        <v>106</v>
      </c>
      <c r="C35" s="206" t="s">
        <v>170</v>
      </c>
      <c r="D35" s="209">
        <v>300</v>
      </c>
      <c r="E35" s="210">
        <v>7000</v>
      </c>
      <c r="F35" s="210">
        <f>E35*D35</f>
        <v>2100000</v>
      </c>
      <c r="G35" s="228"/>
      <c r="H35" s="229">
        <v>0.36</v>
      </c>
      <c r="I35" s="212">
        <f t="shared" si="21"/>
        <v>10000</v>
      </c>
      <c r="J35" s="213">
        <f t="shared" si="22"/>
        <v>3000000</v>
      </c>
      <c r="K35" s="213">
        <f t="shared" si="23"/>
        <v>900000</v>
      </c>
      <c r="L35" s="230"/>
      <c r="M35" s="92"/>
      <c r="N35" s="303"/>
      <c r="O35" s="92"/>
      <c r="P35" s="303"/>
      <c r="Q35" s="421"/>
      <c r="R35" s="93"/>
      <c r="S35" s="94"/>
      <c r="T35" s="94"/>
      <c r="U35" s="95"/>
      <c r="V35" s="96"/>
      <c r="W35" s="97"/>
      <c r="X35" s="98"/>
      <c r="Y35" s="99"/>
      <c r="Z35" s="125"/>
      <c r="AA35" s="94"/>
      <c r="AB35" s="95"/>
      <c r="AC35" s="95"/>
      <c r="AD35" s="101"/>
    </row>
    <row r="36" spans="1:30" s="15" customFormat="1" ht="45.75" customHeight="1" collapsed="1" x14ac:dyDescent="0.3">
      <c r="A36" s="215" t="s">
        <v>190</v>
      </c>
      <c r="B36" s="215" t="s">
        <v>191</v>
      </c>
      <c r="C36" s="216" t="s">
        <v>111</v>
      </c>
      <c r="D36" s="231">
        <f>SUM(D37:D40)</f>
        <v>160</v>
      </c>
      <c r="E36" s="232">
        <f>F36/D36</f>
        <v>458531.25</v>
      </c>
      <c r="F36" s="232">
        <f>SUBTOTAL(9,F37:F42)</f>
        <v>73365000</v>
      </c>
      <c r="G36" s="232"/>
      <c r="H36" s="217">
        <v>0.36</v>
      </c>
      <c r="I36" s="232">
        <f t="shared" si="21"/>
        <v>624000</v>
      </c>
      <c r="J36" s="232">
        <f t="shared" si="22"/>
        <v>99840000</v>
      </c>
      <c r="K36" s="232">
        <f t="shared" si="23"/>
        <v>26475000</v>
      </c>
      <c r="L36" s="218"/>
      <c r="M36" s="219">
        <f>56/61</f>
        <v>0.91803278688524592</v>
      </c>
      <c r="N36" s="220"/>
      <c r="O36" s="221"/>
      <c r="P36" s="220"/>
      <c r="Q36" s="222"/>
      <c r="R36" s="222"/>
      <c r="S36" s="222"/>
      <c r="T36" s="222"/>
      <c r="U36" s="222">
        <f>T36*R36</f>
        <v>0</v>
      </c>
      <c r="V36" s="222"/>
      <c r="W36" s="222"/>
      <c r="X36" s="222"/>
      <c r="Y36" s="222" t="str">
        <f>IF(X36&lt;&gt;0,1-T36/X36," ")</f>
        <v xml:space="preserve"> </v>
      </c>
      <c r="Z36" s="222"/>
      <c r="AA36" s="222">
        <f>IF(Z36&lt;&gt;0,Z36,R36)</f>
        <v>0</v>
      </c>
      <c r="AB36" s="222">
        <f>IF(X36&lt;&gt;0, X36,V36)</f>
        <v>0</v>
      </c>
      <c r="AC36" s="222">
        <f>AA36*AB36</f>
        <v>0</v>
      </c>
      <c r="AD36" s="222"/>
    </row>
    <row r="37" spans="1:30" s="10" customFormat="1" ht="45.75" hidden="1" customHeight="1" outlineLevel="1" x14ac:dyDescent="0.3">
      <c r="A37" s="102">
        <v>1</v>
      </c>
      <c r="B37" s="233" t="s">
        <v>192</v>
      </c>
      <c r="C37" s="102" t="s">
        <v>111</v>
      </c>
      <c r="D37" s="234">
        <v>117</v>
      </c>
      <c r="E37" s="235">
        <v>400000</v>
      </c>
      <c r="F37" s="236">
        <f t="shared" ref="F37:F42" si="25">E37*D37</f>
        <v>46800000</v>
      </c>
      <c r="G37" s="107"/>
      <c r="H37" s="107"/>
      <c r="I37" s="107"/>
      <c r="J37" s="107"/>
      <c r="K37" s="107"/>
      <c r="L37" s="107"/>
      <c r="M37" s="421"/>
      <c r="N37" s="421"/>
      <c r="O37" s="421"/>
      <c r="P37" s="421"/>
      <c r="Q37" s="421"/>
      <c r="R37" s="101"/>
      <c r="S37" s="101"/>
      <c r="T37" s="101"/>
      <c r="U37" s="95"/>
      <c r="V37" s="94"/>
      <c r="W37" s="101"/>
      <c r="X37" s="95"/>
      <c r="Y37" s="101"/>
      <c r="Z37" s="101"/>
      <c r="AA37" s="94"/>
      <c r="AB37" s="95"/>
      <c r="AC37" s="95"/>
      <c r="AD37" s="101"/>
    </row>
    <row r="38" spans="1:30" s="10" customFormat="1" ht="45.75" hidden="1" customHeight="1" outlineLevel="1" x14ac:dyDescent="0.3">
      <c r="A38" s="102">
        <v>2</v>
      </c>
      <c r="B38" s="233" t="s">
        <v>193</v>
      </c>
      <c r="C38" s="102" t="s">
        <v>111</v>
      </c>
      <c r="D38" s="234">
        <v>39</v>
      </c>
      <c r="E38" s="237">
        <v>500000</v>
      </c>
      <c r="F38" s="236">
        <f t="shared" si="25"/>
        <v>19500000</v>
      </c>
      <c r="G38" s="107"/>
      <c r="H38" s="107"/>
      <c r="I38" s="107"/>
      <c r="J38" s="107"/>
      <c r="K38" s="109"/>
      <c r="L38" s="107"/>
      <c r="M38" s="421"/>
      <c r="N38" s="421"/>
      <c r="O38" s="421"/>
      <c r="P38" s="421"/>
      <c r="Q38" s="421"/>
      <c r="R38" s="101"/>
      <c r="S38" s="101"/>
      <c r="T38" s="101"/>
      <c r="U38" s="95"/>
      <c r="V38" s="94"/>
      <c r="W38" s="101"/>
      <c r="X38" s="95"/>
      <c r="Y38" s="101"/>
      <c r="Z38" s="101"/>
      <c r="AA38" s="94"/>
      <c r="AB38" s="95"/>
      <c r="AC38" s="95"/>
      <c r="AD38" s="101"/>
    </row>
    <row r="39" spans="1:30" s="10" customFormat="1" ht="45.75" hidden="1" customHeight="1" outlineLevel="1" x14ac:dyDescent="0.3">
      <c r="A39" s="102">
        <v>3</v>
      </c>
      <c r="B39" s="233" t="s">
        <v>194</v>
      </c>
      <c r="C39" s="102" t="s">
        <v>111</v>
      </c>
      <c r="D39" s="234">
        <v>2</v>
      </c>
      <c r="E39" s="235">
        <v>450000</v>
      </c>
      <c r="F39" s="236">
        <f t="shared" si="25"/>
        <v>900000</v>
      </c>
      <c r="G39" s="107"/>
      <c r="H39" s="107"/>
      <c r="I39" s="107"/>
      <c r="J39" s="107"/>
      <c r="K39" s="107"/>
      <c r="L39" s="107"/>
      <c r="M39" s="421"/>
      <c r="N39" s="421"/>
      <c r="O39" s="421"/>
      <c r="P39" s="421"/>
      <c r="Q39" s="421"/>
      <c r="R39" s="101"/>
      <c r="S39" s="101"/>
      <c r="T39" s="101"/>
      <c r="U39" s="95"/>
      <c r="V39" s="94"/>
      <c r="W39" s="101"/>
      <c r="X39" s="95"/>
      <c r="Y39" s="101"/>
      <c r="Z39" s="101"/>
      <c r="AA39" s="94"/>
      <c r="AB39" s="95"/>
      <c r="AC39" s="95"/>
      <c r="AD39" s="101"/>
    </row>
    <row r="40" spans="1:30" s="10" customFormat="1" ht="45.75" hidden="1" customHeight="1" outlineLevel="1" x14ac:dyDescent="0.3">
      <c r="A40" s="102">
        <v>4</v>
      </c>
      <c r="B40" s="233" t="s">
        <v>195</v>
      </c>
      <c r="C40" s="102" t="s">
        <v>111</v>
      </c>
      <c r="D40" s="234">
        <v>2</v>
      </c>
      <c r="E40" s="235">
        <v>450000</v>
      </c>
      <c r="F40" s="236">
        <f t="shared" si="25"/>
        <v>900000</v>
      </c>
      <c r="G40" s="107"/>
      <c r="H40" s="107"/>
      <c r="I40" s="107"/>
      <c r="J40" s="107"/>
      <c r="K40" s="107"/>
      <c r="L40" s="107"/>
      <c r="M40" s="421"/>
      <c r="N40" s="421"/>
      <c r="O40" s="421"/>
      <c r="P40" s="421"/>
      <c r="Q40" s="421"/>
      <c r="R40" s="101"/>
      <c r="S40" s="101"/>
      <c r="T40" s="101"/>
      <c r="U40" s="95"/>
      <c r="V40" s="94"/>
      <c r="W40" s="101"/>
      <c r="X40" s="95"/>
      <c r="Y40" s="101"/>
      <c r="Z40" s="101"/>
      <c r="AA40" s="94"/>
      <c r="AB40" s="95"/>
      <c r="AC40" s="95"/>
      <c r="AD40" s="101"/>
    </row>
    <row r="41" spans="1:30" s="10" customFormat="1" ht="45.75" hidden="1" customHeight="1" outlineLevel="1" x14ac:dyDescent="0.3">
      <c r="A41" s="102">
        <v>5</v>
      </c>
      <c r="B41" s="233" t="s">
        <v>196</v>
      </c>
      <c r="C41" s="102" t="s">
        <v>111</v>
      </c>
      <c r="D41" s="234">
        <f>SUM(D37:D38)</f>
        <v>156</v>
      </c>
      <c r="E41" s="235">
        <v>30000</v>
      </c>
      <c r="F41" s="236">
        <f t="shared" si="25"/>
        <v>4680000</v>
      </c>
      <c r="G41" s="109"/>
      <c r="H41" s="107"/>
      <c r="I41" s="107"/>
      <c r="J41" s="107"/>
      <c r="K41" s="107"/>
      <c r="L41" s="107"/>
      <c r="M41" s="421"/>
      <c r="N41" s="421"/>
      <c r="O41" s="421"/>
      <c r="P41" s="421"/>
      <c r="Q41" s="421"/>
      <c r="R41" s="101"/>
      <c r="S41" s="101"/>
      <c r="T41" s="101"/>
      <c r="U41" s="95"/>
      <c r="V41" s="94"/>
      <c r="W41" s="101"/>
      <c r="X41" s="95"/>
      <c r="Y41" s="101"/>
      <c r="Z41" s="101"/>
      <c r="AA41" s="94"/>
      <c r="AB41" s="95"/>
      <c r="AC41" s="95"/>
      <c r="AD41" s="101"/>
    </row>
    <row r="42" spans="1:30" s="10" customFormat="1" ht="45.75" hidden="1" customHeight="1" outlineLevel="1" x14ac:dyDescent="0.3">
      <c r="A42" s="226">
        <v>6</v>
      </c>
      <c r="B42" s="238" t="s">
        <v>197</v>
      </c>
      <c r="C42" s="226" t="s">
        <v>198</v>
      </c>
      <c r="D42" s="239">
        <v>39</v>
      </c>
      <c r="E42" s="240">
        <v>15000</v>
      </c>
      <c r="F42" s="236">
        <f t="shared" si="25"/>
        <v>585000</v>
      </c>
      <c r="G42" s="241"/>
      <c r="H42" s="242"/>
      <c r="I42" s="242"/>
      <c r="J42" s="242"/>
      <c r="K42" s="242"/>
      <c r="L42" s="242"/>
      <c r="M42" s="421"/>
      <c r="N42" s="421"/>
      <c r="O42" s="421"/>
      <c r="P42" s="421"/>
      <c r="Q42" s="421"/>
      <c r="R42" s="101"/>
      <c r="S42" s="101"/>
      <c r="T42" s="101"/>
      <c r="U42" s="95"/>
      <c r="V42" s="94"/>
      <c r="W42" s="101"/>
      <c r="X42" s="95"/>
      <c r="Y42" s="101"/>
      <c r="Z42" s="101"/>
      <c r="AA42" s="94"/>
      <c r="AB42" s="95"/>
      <c r="AC42" s="95"/>
      <c r="AD42" s="101"/>
    </row>
    <row r="43" spans="1:30" s="9" customFormat="1" ht="45.75" customHeight="1" collapsed="1" x14ac:dyDescent="0.45">
      <c r="A43" s="243" t="s">
        <v>199</v>
      </c>
      <c r="B43" s="243"/>
      <c r="C43" s="74"/>
      <c r="D43" s="244"/>
      <c r="E43" s="245"/>
      <c r="F43" s="246">
        <f>SUBTOTAL(9,F3:F42)</f>
        <v>356632976.15499258</v>
      </c>
      <c r="G43" s="246"/>
      <c r="H43" s="247">
        <f>K43/F43</f>
        <v>0.3633287791892082</v>
      </c>
      <c r="I43" s="245"/>
      <c r="J43" s="246">
        <f>SUBTOTAL(9,J3:J42)</f>
        <v>486208000</v>
      </c>
      <c r="K43" s="246">
        <f>SUBTOTAL(9,K3:K42)</f>
        <v>129575023.84500745</v>
      </c>
      <c r="L43" s="248"/>
      <c r="M43" s="249"/>
      <c r="N43" s="249"/>
      <c r="O43" s="249"/>
      <c r="P43" s="250"/>
      <c r="Q43" s="425"/>
      <c r="R43" s="251"/>
      <c r="S43" s="251"/>
      <c r="T43" s="251"/>
      <c r="U43" s="252">
        <f>SUM(U5:U27)</f>
        <v>321731000</v>
      </c>
      <c r="V43" s="253"/>
      <c r="W43" s="251"/>
      <c r="X43" s="254"/>
      <c r="Y43" s="251"/>
      <c r="Z43" s="251"/>
      <c r="AA43" s="255"/>
      <c r="AB43" s="254"/>
      <c r="AC43" s="252" t="e">
        <f>SUM(AC5:AC36)</f>
        <v>#DIV/0!</v>
      </c>
      <c r="AD43" s="251"/>
    </row>
    <row r="44" spans="1:30" s="9" customFormat="1" ht="45.75" customHeight="1" x14ac:dyDescent="0.45">
      <c r="A44" s="243" t="s">
        <v>200</v>
      </c>
      <c r="B44" s="243"/>
      <c r="C44" s="74"/>
      <c r="D44" s="244"/>
      <c r="E44" s="244"/>
      <c r="F44" s="246">
        <f>F43*0.1</f>
        <v>35663297.615499258</v>
      </c>
      <c r="G44" s="246"/>
      <c r="H44" s="256"/>
      <c r="I44" s="244"/>
      <c r="J44" s="246">
        <f>J43*0.1</f>
        <v>48620800</v>
      </c>
      <c r="K44" s="257"/>
      <c r="L44" s="248"/>
      <c r="M44" s="249"/>
      <c r="N44" s="250"/>
      <c r="O44" s="249"/>
      <c r="P44" s="250"/>
      <c r="Q44" s="425"/>
      <c r="R44" s="251"/>
      <c r="S44" s="251"/>
      <c r="T44" s="251"/>
      <c r="U44" s="254"/>
      <c r="V44" s="255"/>
      <c r="W44" s="251"/>
      <c r="X44" s="254"/>
      <c r="Y44" s="251"/>
      <c r="Z44" s="251"/>
      <c r="AA44" s="255"/>
      <c r="AB44" s="254"/>
      <c r="AC44" s="254"/>
      <c r="AD44" s="251"/>
    </row>
    <row r="45" spans="1:30" s="9" customFormat="1" ht="45.75" customHeight="1" x14ac:dyDescent="0.45">
      <c r="A45" s="243" t="s">
        <v>201</v>
      </c>
      <c r="B45" s="258"/>
      <c r="C45" s="259"/>
      <c r="D45" s="260"/>
      <c r="E45" s="260"/>
      <c r="F45" s="261">
        <f>F43+F44</f>
        <v>392296273.77049184</v>
      </c>
      <c r="G45" s="262"/>
      <c r="H45" s="263"/>
      <c r="I45" s="262"/>
      <c r="J45" s="246">
        <f>J43+J44</f>
        <v>534828800</v>
      </c>
      <c r="K45" s="264"/>
      <c r="L45" s="248"/>
      <c r="M45" s="249"/>
      <c r="N45" s="250"/>
      <c r="O45" s="249"/>
      <c r="P45" s="250"/>
      <c r="Q45" s="425"/>
      <c r="R45" s="251"/>
      <c r="S45" s="251"/>
      <c r="T45" s="251"/>
      <c r="U45" s="254"/>
      <c r="V45" s="255"/>
      <c r="W45" s="251"/>
      <c r="X45" s="254"/>
      <c r="Y45" s="251"/>
      <c r="Z45" s="251"/>
      <c r="AA45" s="255"/>
      <c r="AB45" s="254"/>
      <c r="AC45" s="254"/>
      <c r="AD45" s="251"/>
    </row>
    <row r="46" spans="1:30" s="427" customFormat="1" ht="36.75" customHeight="1" x14ac:dyDescent="0.5">
      <c r="A46" s="424"/>
      <c r="B46" s="265" t="s">
        <v>202</v>
      </c>
      <c r="C46" s="266">
        <v>0.11</v>
      </c>
      <c r="D46" s="266"/>
      <c r="E46" s="471"/>
      <c r="F46" s="455"/>
      <c r="I46" s="425"/>
      <c r="J46" s="422"/>
      <c r="K46" s="92"/>
      <c r="L46" s="267"/>
      <c r="M46" s="425"/>
      <c r="N46" s="424"/>
      <c r="O46" s="250"/>
    </row>
    <row r="47" spans="1:30" s="427" customFormat="1" ht="36.75" customHeight="1" x14ac:dyDescent="0.5">
      <c r="A47" s="424"/>
      <c r="B47" s="268" t="s">
        <v>203</v>
      </c>
      <c r="C47" s="269">
        <v>2</v>
      </c>
      <c r="D47" s="269"/>
      <c r="E47" s="471"/>
      <c r="F47" s="455"/>
      <c r="I47" s="425"/>
      <c r="J47" s="422"/>
      <c r="K47" s="92"/>
      <c r="L47" s="270"/>
      <c r="M47" s="425"/>
      <c r="N47" s="424"/>
      <c r="O47" s="250"/>
    </row>
    <row r="48" spans="1:30" s="427" customFormat="1" ht="36.75" customHeight="1" x14ac:dyDescent="0.5">
      <c r="A48" s="424"/>
      <c r="B48" s="265" t="s">
        <v>204</v>
      </c>
      <c r="C48" s="271">
        <v>0.05</v>
      </c>
      <c r="D48" s="271"/>
      <c r="E48" s="464">
        <f>C51*C48</f>
        <v>24310400</v>
      </c>
      <c r="F48" s="455"/>
      <c r="I48" s="425"/>
      <c r="J48" s="422"/>
      <c r="K48" s="55"/>
      <c r="L48" s="134"/>
      <c r="M48" s="425"/>
      <c r="N48" s="424"/>
      <c r="O48" s="250"/>
    </row>
    <row r="49" spans="1:18" s="427" customFormat="1" ht="36.75" customHeight="1" x14ac:dyDescent="0.5">
      <c r="A49" s="424"/>
      <c r="B49" s="265" t="s">
        <v>205</v>
      </c>
      <c r="C49" s="272">
        <v>12</v>
      </c>
      <c r="D49" s="272"/>
      <c r="E49" s="471"/>
      <c r="F49" s="455"/>
      <c r="I49" s="425"/>
      <c r="J49" s="422"/>
      <c r="K49" s="92"/>
      <c r="L49" s="134"/>
      <c r="M49" s="273"/>
      <c r="N49" s="424"/>
      <c r="O49" s="250"/>
    </row>
    <row r="50" spans="1:18" s="427" customFormat="1" ht="36.75" customHeight="1" x14ac:dyDescent="0.5">
      <c r="A50" s="274"/>
      <c r="B50" s="275" t="s">
        <v>206</v>
      </c>
      <c r="C50" s="276"/>
      <c r="D50" s="276"/>
      <c r="E50" s="277" t="s">
        <v>207</v>
      </c>
      <c r="F50" s="277" t="s">
        <v>208</v>
      </c>
      <c r="I50" s="278"/>
      <c r="J50" s="279"/>
      <c r="K50" s="280"/>
      <c r="L50" s="281"/>
      <c r="M50" s="282"/>
      <c r="N50" s="283"/>
      <c r="O50" s="276"/>
      <c r="P50" s="276"/>
      <c r="Q50" s="277"/>
      <c r="R50" s="277"/>
    </row>
    <row r="51" spans="1:18" s="423" customFormat="1" ht="36.75" customHeight="1" x14ac:dyDescent="0.3">
      <c r="A51" s="284">
        <v>1</v>
      </c>
      <c r="B51" s="285" t="s">
        <v>209</v>
      </c>
      <c r="C51" s="467">
        <f>J43</f>
        <v>486208000</v>
      </c>
      <c r="D51" s="455"/>
      <c r="E51" s="286"/>
      <c r="F51" s="284"/>
      <c r="I51" s="287"/>
      <c r="J51" s="473"/>
      <c r="K51" s="451"/>
      <c r="L51" s="288"/>
      <c r="M51" s="289"/>
      <c r="N51" s="290"/>
      <c r="O51" s="468"/>
      <c r="P51" s="451"/>
      <c r="Q51" s="291"/>
      <c r="R51" s="292"/>
    </row>
    <row r="52" spans="1:18" s="423" customFormat="1" ht="36.75" customHeight="1" x14ac:dyDescent="0.3">
      <c r="A52" s="284">
        <v>2</v>
      </c>
      <c r="B52" s="285" t="s">
        <v>210</v>
      </c>
      <c r="C52" s="467">
        <f>SUM(C53:D58)</f>
        <v>357119184.15499258</v>
      </c>
      <c r="D52" s="455"/>
      <c r="E52" s="293">
        <f>C52/$C$51</f>
        <v>0.73449878273288915</v>
      </c>
      <c r="F52" s="294">
        <f>C52/$C$52</f>
        <v>1</v>
      </c>
      <c r="I52" s="287"/>
      <c r="J52" s="295"/>
      <c r="K52" s="295"/>
      <c r="L52" s="296"/>
      <c r="M52" s="119"/>
      <c r="N52" s="290"/>
      <c r="O52" s="297"/>
      <c r="P52" s="297"/>
      <c r="Q52" s="298"/>
      <c r="R52" s="421"/>
    </row>
    <row r="53" spans="1:18" s="423" customFormat="1" ht="36.75" customHeight="1" x14ac:dyDescent="0.3">
      <c r="A53" s="299"/>
      <c r="B53" s="300" t="s">
        <v>211</v>
      </c>
      <c r="C53" s="457">
        <f>SUBTOTAL(9,F4:F35)</f>
        <v>283267976.15499258</v>
      </c>
      <c r="D53" s="455"/>
      <c r="E53" s="301">
        <f>C53/$C$51</f>
        <v>0.58260657199180721</v>
      </c>
      <c r="F53" s="301">
        <f>C53/$C$52</f>
        <v>0.79320291018600675</v>
      </c>
      <c r="I53" s="287"/>
      <c r="J53" s="295"/>
      <c r="K53" s="295"/>
      <c r="L53" s="302"/>
      <c r="M53" s="302"/>
      <c r="N53" s="290"/>
      <c r="O53" s="297"/>
      <c r="P53" s="297"/>
      <c r="Q53" s="303"/>
      <c r="R53" s="303"/>
    </row>
    <row r="54" spans="1:18" s="423" customFormat="1" ht="36.75" customHeight="1" x14ac:dyDescent="0.3">
      <c r="A54" s="299"/>
      <c r="B54" s="300" t="s">
        <v>212</v>
      </c>
      <c r="C54" s="399"/>
      <c r="D54" s="400"/>
      <c r="E54" s="301"/>
      <c r="F54" s="301"/>
      <c r="I54" s="287"/>
      <c r="J54" s="295"/>
      <c r="K54" s="295"/>
      <c r="L54" s="302"/>
      <c r="M54" s="302"/>
      <c r="N54" s="290"/>
      <c r="O54" s="297"/>
      <c r="P54" s="297"/>
      <c r="Q54" s="303"/>
      <c r="R54" s="303"/>
    </row>
    <row r="55" spans="1:18" s="423" customFormat="1" ht="36.75" customHeight="1" x14ac:dyDescent="0.3">
      <c r="A55" s="299"/>
      <c r="B55" s="300" t="s">
        <v>213</v>
      </c>
      <c r="C55" s="457">
        <f>F36</f>
        <v>73365000</v>
      </c>
      <c r="D55" s="455"/>
      <c r="E55" s="301">
        <f>C55/$C$51</f>
        <v>0.150892210741082</v>
      </c>
      <c r="F55" s="301">
        <f>C55/$C$52</f>
        <v>0.20543561716964218</v>
      </c>
      <c r="J55" s="468"/>
      <c r="K55" s="451"/>
      <c r="L55" s="303"/>
      <c r="M55" s="303"/>
      <c r="N55" s="304"/>
      <c r="O55" s="468"/>
      <c r="P55" s="451"/>
      <c r="Q55" s="303"/>
      <c r="R55" s="303"/>
    </row>
    <row r="56" spans="1:18" s="423" customFormat="1" ht="36.75" customHeight="1" x14ac:dyDescent="0.3">
      <c r="A56" s="299"/>
      <c r="B56" s="300" t="s">
        <v>214</v>
      </c>
      <c r="C56" s="399"/>
      <c r="D56" s="400"/>
      <c r="E56" s="301"/>
      <c r="F56" s="301"/>
      <c r="J56" s="474"/>
      <c r="K56" s="451"/>
      <c r="L56" s="303"/>
      <c r="M56" s="303"/>
      <c r="N56" s="305"/>
      <c r="O56" s="474"/>
      <c r="P56" s="451"/>
      <c r="Q56" s="303"/>
      <c r="R56" s="303"/>
    </row>
    <row r="57" spans="1:18" s="423" customFormat="1" ht="36.75" customHeight="1" x14ac:dyDescent="0.3">
      <c r="A57" s="299"/>
      <c r="B57" s="300" t="s">
        <v>215</v>
      </c>
      <c r="C57" s="457">
        <f>C51*0.1%</f>
        <v>486208</v>
      </c>
      <c r="D57" s="455"/>
      <c r="E57" s="301">
        <f>C57/$C$51</f>
        <v>1E-3</v>
      </c>
      <c r="F57" s="301">
        <f>C57/$C$52</f>
        <v>1.3614726443510854E-3</v>
      </c>
      <c r="J57" s="424"/>
      <c r="K57" s="424"/>
      <c r="L57" s="303"/>
      <c r="M57" s="303"/>
      <c r="N57" s="305"/>
      <c r="O57" s="424"/>
      <c r="P57" s="424"/>
      <c r="Q57" s="303"/>
      <c r="R57" s="303"/>
    </row>
    <row r="58" spans="1:18" s="423" customFormat="1" ht="36.75" customHeight="1" x14ac:dyDescent="0.3">
      <c r="A58" s="299"/>
      <c r="B58" s="300" t="s">
        <v>216</v>
      </c>
      <c r="C58" s="457"/>
      <c r="D58" s="455"/>
      <c r="E58" s="301"/>
      <c r="F58" s="301"/>
      <c r="J58" s="424"/>
      <c r="K58" s="424"/>
      <c r="L58" s="303"/>
      <c r="M58" s="303"/>
      <c r="N58" s="305"/>
      <c r="O58" s="424"/>
      <c r="P58" s="424"/>
      <c r="Q58" s="303"/>
      <c r="R58" s="303"/>
    </row>
    <row r="59" spans="1:18" s="423" customFormat="1" ht="36.75" customHeight="1" x14ac:dyDescent="0.3">
      <c r="A59" s="284">
        <v>3</v>
      </c>
      <c r="B59" s="285" t="s">
        <v>217</v>
      </c>
      <c r="C59" s="467">
        <f>SUM(C60:D62)</f>
        <v>22586240</v>
      </c>
      <c r="D59" s="455"/>
      <c r="E59" s="293">
        <f>C59/$C$51</f>
        <v>4.6453863367118597E-2</v>
      </c>
      <c r="F59" s="306">
        <f>C59/$C$52</f>
        <v>6.3245664198754978E-2</v>
      </c>
      <c r="I59" s="287"/>
      <c r="J59" s="295"/>
      <c r="K59" s="295"/>
      <c r="L59" s="296"/>
      <c r="M59" s="119"/>
      <c r="N59" s="290"/>
      <c r="O59" s="297"/>
      <c r="P59" s="297"/>
      <c r="Q59" s="298"/>
      <c r="R59" s="421"/>
    </row>
    <row r="60" spans="1:18" s="423" customFormat="1" ht="36.75" customHeight="1" x14ac:dyDescent="0.3">
      <c r="A60" s="299"/>
      <c r="B60" s="300" t="s">
        <v>218</v>
      </c>
      <c r="C60" s="457">
        <f>C51*0.03</f>
        <v>14586240</v>
      </c>
      <c r="D60" s="455"/>
      <c r="E60" s="301">
        <f>C60/$C$51</f>
        <v>0.03</v>
      </c>
      <c r="F60" s="301">
        <f>C60/$C$52</f>
        <v>4.0844179330532561E-2</v>
      </c>
      <c r="J60" s="466"/>
      <c r="K60" s="451"/>
      <c r="L60" s="303"/>
      <c r="M60" s="421"/>
      <c r="N60" s="304"/>
      <c r="O60" s="466"/>
      <c r="P60" s="451"/>
      <c r="Q60" s="303"/>
      <c r="R60" s="421"/>
    </row>
    <row r="61" spans="1:18" s="423" customFormat="1" ht="36.75" customHeight="1" x14ac:dyDescent="0.3">
      <c r="A61" s="299"/>
      <c r="B61" s="300" t="s">
        <v>219</v>
      </c>
      <c r="C61" s="457">
        <v>8000000</v>
      </c>
      <c r="D61" s="455"/>
      <c r="E61" s="301">
        <f>C61/$C$51</f>
        <v>1.6453863367118599E-2</v>
      </c>
      <c r="F61" s="301">
        <f>C61/$C$52</f>
        <v>2.2401484868222413E-2</v>
      </c>
      <c r="J61" s="466"/>
      <c r="K61" s="451"/>
      <c r="L61" s="303"/>
      <c r="M61" s="421"/>
      <c r="N61" s="304"/>
      <c r="O61" s="466"/>
      <c r="P61" s="451"/>
      <c r="Q61" s="303"/>
      <c r="R61" s="421"/>
    </row>
    <row r="62" spans="1:18" s="423" customFormat="1" ht="36.75" customHeight="1" x14ac:dyDescent="0.3">
      <c r="A62" s="299"/>
      <c r="B62" s="300" t="s">
        <v>220</v>
      </c>
      <c r="C62" s="454"/>
      <c r="D62" s="455"/>
      <c r="E62" s="301"/>
      <c r="F62" s="307"/>
      <c r="J62" s="474"/>
      <c r="K62" s="451"/>
      <c r="L62" s="303"/>
      <c r="M62" s="421"/>
      <c r="N62" s="305"/>
      <c r="O62" s="474"/>
      <c r="P62" s="451"/>
      <c r="Q62" s="303"/>
      <c r="R62" s="421"/>
    </row>
    <row r="63" spans="1:18" s="423" customFormat="1" ht="36.75" customHeight="1" x14ac:dyDescent="0.3">
      <c r="A63" s="284">
        <v>3</v>
      </c>
      <c r="B63" s="285" t="s">
        <v>221</v>
      </c>
      <c r="C63" s="467">
        <f>SUM(C64:C66)</f>
        <v>9212415.2295081969</v>
      </c>
      <c r="D63" s="455"/>
      <c r="E63" s="293">
        <f>C63/$C$51</f>
        <v>1.8947477683436301E-2</v>
      </c>
      <c r="F63" s="306">
        <f>C63/$C$52</f>
        <v>2.5796472545451199E-2</v>
      </c>
      <c r="I63" s="287"/>
      <c r="J63" s="473"/>
      <c r="K63" s="451"/>
      <c r="L63" s="308"/>
      <c r="M63" s="289"/>
      <c r="N63" s="290"/>
      <c r="O63" s="468"/>
      <c r="P63" s="451"/>
      <c r="Q63" s="291"/>
      <c r="R63" s="292"/>
    </row>
    <row r="64" spans="1:18" s="423" customFormat="1" ht="36.75" customHeight="1" x14ac:dyDescent="0.3">
      <c r="A64" s="299"/>
      <c r="B64" s="300" t="s">
        <v>222</v>
      </c>
      <c r="C64" s="465">
        <f>(C46/12*C47)*C53</f>
        <v>5193246.2295081969</v>
      </c>
      <c r="D64" s="455"/>
      <c r="E64" s="309"/>
      <c r="F64" s="310"/>
      <c r="J64" s="450"/>
      <c r="K64" s="451"/>
      <c r="L64" s="311"/>
      <c r="M64" s="303"/>
      <c r="N64" s="304"/>
      <c r="O64" s="450"/>
      <c r="P64" s="451"/>
      <c r="Q64" s="311"/>
      <c r="R64" s="303"/>
    </row>
    <row r="65" spans="1:29" s="423" customFormat="1" ht="36.75" customHeight="1" x14ac:dyDescent="0.3">
      <c r="A65" s="299"/>
      <c r="B65" s="300" t="s">
        <v>223</v>
      </c>
      <c r="C65" s="465">
        <f>C55*(C46/12*C47)</f>
        <v>1345025</v>
      </c>
      <c r="D65" s="455"/>
      <c r="E65" s="309"/>
      <c r="F65" s="310"/>
      <c r="J65" s="450"/>
      <c r="K65" s="451"/>
      <c r="L65" s="311"/>
      <c r="M65" s="303"/>
      <c r="N65" s="304"/>
      <c r="O65" s="450"/>
      <c r="P65" s="451"/>
      <c r="Q65" s="311"/>
      <c r="R65" s="303"/>
    </row>
    <row r="66" spans="1:29" s="421" customFormat="1" ht="36.75" customHeight="1" x14ac:dyDescent="0.3">
      <c r="A66" s="299"/>
      <c r="B66" s="300" t="s">
        <v>224</v>
      </c>
      <c r="C66" s="465">
        <f>C46/12*C49*E48</f>
        <v>2674144</v>
      </c>
      <c r="D66" s="455"/>
      <c r="E66" s="312" t="s">
        <v>225</v>
      </c>
      <c r="F66" s="312"/>
      <c r="I66" s="134"/>
      <c r="J66" s="450"/>
      <c r="K66" s="453"/>
      <c r="L66" s="313"/>
      <c r="M66" s="313"/>
      <c r="N66" s="314"/>
      <c r="O66" s="450"/>
      <c r="P66" s="453"/>
      <c r="Q66" s="313"/>
      <c r="R66" s="313"/>
    </row>
    <row r="67" spans="1:29" s="421" customFormat="1" ht="36.75" customHeight="1" x14ac:dyDescent="0.3">
      <c r="A67" s="299"/>
      <c r="B67" s="300" t="s">
        <v>226</v>
      </c>
      <c r="C67" s="482"/>
      <c r="D67" s="455"/>
      <c r="E67" s="312"/>
      <c r="F67" s="312"/>
      <c r="J67" s="452"/>
      <c r="K67" s="453"/>
      <c r="L67" s="315"/>
      <c r="M67" s="315"/>
      <c r="N67" s="314"/>
      <c r="O67" s="452"/>
      <c r="P67" s="453"/>
      <c r="Q67" s="315"/>
      <c r="R67" s="315"/>
    </row>
    <row r="68" spans="1:29" s="423" customFormat="1" ht="54.75" customHeight="1" x14ac:dyDescent="0.3">
      <c r="A68" s="284">
        <v>4</v>
      </c>
      <c r="B68" s="316" t="s">
        <v>227</v>
      </c>
      <c r="C68" s="456">
        <f>C51-C52-C59</f>
        <v>106502575.84500742</v>
      </c>
      <c r="D68" s="455"/>
      <c r="E68" s="293">
        <f>C68/$C$51</f>
        <v>0.21904735389999222</v>
      </c>
      <c r="F68" s="306">
        <f>C68/$C$52</f>
        <v>0.29822698015233046</v>
      </c>
      <c r="I68" s="287"/>
      <c r="J68" s="317"/>
      <c r="K68" s="317"/>
      <c r="L68" s="296"/>
      <c r="M68" s="119"/>
      <c r="N68" s="290"/>
      <c r="O68" s="428"/>
      <c r="P68" s="428"/>
      <c r="Q68" s="298"/>
      <c r="R68" s="421"/>
    </row>
    <row r="69" spans="1:29" s="423" customFormat="1" ht="54.75" customHeight="1" x14ac:dyDescent="0.3">
      <c r="A69" s="284">
        <v>5</v>
      </c>
      <c r="B69" s="316" t="s">
        <v>228</v>
      </c>
      <c r="C69" s="456">
        <f>C68-C63</f>
        <v>97290160.615499228</v>
      </c>
      <c r="D69" s="455"/>
      <c r="E69" s="293">
        <f>C69/$C$51</f>
        <v>0.20009987621655592</v>
      </c>
      <c r="F69" s="306">
        <f>C69/$C$52</f>
        <v>0.27243050760687926</v>
      </c>
      <c r="I69" s="287"/>
      <c r="J69" s="317"/>
      <c r="K69" s="317"/>
      <c r="L69" s="296"/>
      <c r="M69" s="119"/>
      <c r="N69" s="290"/>
      <c r="O69" s="428"/>
      <c r="P69" s="428"/>
      <c r="Q69" s="298"/>
      <c r="R69" s="421"/>
    </row>
    <row r="70" spans="1:29" s="423" customFormat="1" ht="72" customHeight="1" x14ac:dyDescent="0.3">
      <c r="A70" s="299"/>
      <c r="B70" s="318" t="s">
        <v>229</v>
      </c>
      <c r="C70" s="476">
        <f>SUM(C69,C59)*0.2</f>
        <v>23975280.123099849</v>
      </c>
      <c r="D70" s="455"/>
      <c r="E70" s="319"/>
      <c r="F70" s="301"/>
      <c r="J70" s="450"/>
      <c r="K70" s="451"/>
      <c r="L70" s="311"/>
      <c r="M70" s="303"/>
      <c r="N70" s="304"/>
      <c r="O70" s="450"/>
      <c r="P70" s="451"/>
      <c r="Q70" s="311"/>
      <c r="R70" s="303"/>
    </row>
    <row r="71" spans="1:29" s="423" customFormat="1" ht="36.75" customHeight="1" x14ac:dyDescent="0.3">
      <c r="A71" s="284">
        <v>6</v>
      </c>
      <c r="B71" s="316" t="s">
        <v>230</v>
      </c>
      <c r="C71" s="456">
        <f>C69-C70</f>
        <v>73314880.49239938</v>
      </c>
      <c r="D71" s="455"/>
      <c r="E71" s="293">
        <f>C71/C51</f>
        <v>0.15078912829982102</v>
      </c>
      <c r="F71" s="306">
        <f>C71/C52</f>
        <v>0.20529527324575242</v>
      </c>
      <c r="I71" s="287"/>
      <c r="J71" s="317"/>
      <c r="K71" s="317"/>
      <c r="L71" s="296"/>
      <c r="M71" s="119"/>
      <c r="N71" s="290"/>
      <c r="O71" s="428"/>
      <c r="P71" s="428"/>
      <c r="Q71" s="298"/>
      <c r="R71" s="421"/>
    </row>
    <row r="72" spans="1:29" s="427" customFormat="1" ht="36.75" customHeight="1" x14ac:dyDescent="0.5">
      <c r="A72" s="424"/>
      <c r="B72" s="320"/>
      <c r="E72" s="297"/>
      <c r="F72" s="297"/>
      <c r="G72" s="321"/>
      <c r="H72" s="298"/>
      <c r="J72" s="480">
        <v>45815</v>
      </c>
      <c r="K72" s="481"/>
      <c r="L72" s="481"/>
      <c r="O72" s="56"/>
    </row>
    <row r="73" spans="1:29" s="425" customFormat="1" ht="36.75" customHeight="1" x14ac:dyDescent="0.45">
      <c r="A73" s="420"/>
      <c r="B73" s="420" t="s">
        <v>231</v>
      </c>
      <c r="C73" s="322"/>
      <c r="D73" s="420" t="s">
        <v>232</v>
      </c>
      <c r="G73" s="420"/>
      <c r="H73" s="420" t="s">
        <v>233</v>
      </c>
      <c r="J73" s="478" t="s">
        <v>124</v>
      </c>
      <c r="K73" s="479"/>
      <c r="L73" s="479"/>
      <c r="O73" s="250"/>
    </row>
    <row r="74" spans="1:29" s="425" customFormat="1" ht="36.75" customHeight="1" x14ac:dyDescent="0.45">
      <c r="B74" s="323"/>
      <c r="C74" s="323"/>
      <c r="D74" s="323"/>
      <c r="G74" s="323"/>
      <c r="L74" s="424"/>
      <c r="O74" s="250"/>
    </row>
    <row r="75" spans="1:29" s="425" customFormat="1" ht="36.75" customHeight="1" x14ac:dyDescent="0.45">
      <c r="B75" s="323"/>
      <c r="C75" s="323"/>
      <c r="D75" s="323"/>
      <c r="G75" s="323"/>
      <c r="L75" s="424"/>
      <c r="O75" s="250"/>
    </row>
    <row r="76" spans="1:29" s="425" customFormat="1" ht="36.75" customHeight="1" x14ac:dyDescent="0.45">
      <c r="B76" s="323"/>
      <c r="C76" s="323"/>
      <c r="D76" s="323"/>
      <c r="G76" s="323"/>
      <c r="K76" s="423"/>
      <c r="L76" s="305"/>
      <c r="O76" s="250"/>
    </row>
    <row r="77" spans="1:29" s="425" customFormat="1" ht="36.75" customHeight="1" x14ac:dyDescent="0.45">
      <c r="B77" s="323"/>
      <c r="C77" s="323"/>
      <c r="D77" s="323"/>
      <c r="G77" s="323"/>
      <c r="K77" s="423"/>
      <c r="L77" s="305"/>
      <c r="O77" s="250"/>
    </row>
    <row r="78" spans="1:29" s="421" customFormat="1" ht="36.75" customHeight="1" x14ac:dyDescent="0.3">
      <c r="B78" s="420"/>
      <c r="C78" s="420"/>
      <c r="D78" s="420" t="s">
        <v>234</v>
      </c>
      <c r="G78" s="420"/>
      <c r="H78" s="420" t="s">
        <v>235</v>
      </c>
      <c r="J78" s="478" t="s">
        <v>236</v>
      </c>
      <c r="K78" s="453"/>
      <c r="L78" s="453"/>
      <c r="O78" s="303"/>
    </row>
    <row r="79" spans="1:29" s="427" customFormat="1" ht="36.75" customHeight="1" x14ac:dyDescent="0.5">
      <c r="J79" s="423"/>
      <c r="K79" s="423"/>
      <c r="L79" s="423"/>
      <c r="N79" s="305"/>
    </row>
    <row r="80" spans="1:29" s="427" customFormat="1" ht="36.75" customHeight="1" x14ac:dyDescent="0.5">
      <c r="C80" s="324"/>
      <c r="D80" s="325"/>
      <c r="H80" s="423"/>
      <c r="I80" s="423"/>
      <c r="J80" s="423"/>
      <c r="L80" s="305"/>
      <c r="M80" s="55"/>
      <c r="N80" s="56"/>
      <c r="O80" s="55"/>
      <c r="P80" s="56"/>
      <c r="U80" s="55"/>
      <c r="V80" s="59"/>
      <c r="X80" s="55"/>
      <c r="AA80" s="59"/>
      <c r="AB80" s="55"/>
      <c r="AC80" s="55"/>
    </row>
    <row r="81" spans="3:29" s="427" customFormat="1" ht="36.75" customHeight="1" x14ac:dyDescent="0.5">
      <c r="C81" s="324"/>
      <c r="D81" s="325"/>
      <c r="H81" s="423"/>
      <c r="I81" s="423"/>
      <c r="J81" s="423"/>
      <c r="L81" s="305"/>
      <c r="M81" s="55"/>
      <c r="N81" s="56"/>
      <c r="O81" s="55"/>
      <c r="P81" s="56"/>
      <c r="U81" s="55"/>
      <c r="V81" s="59"/>
      <c r="X81" s="55"/>
      <c r="AA81" s="59"/>
      <c r="AB81" s="55"/>
      <c r="AC81" s="55"/>
    </row>
    <row r="82" spans="3:29" s="427" customFormat="1" ht="36.75" customHeight="1" x14ac:dyDescent="0.5">
      <c r="C82" s="324"/>
      <c r="D82" s="325"/>
      <c r="H82" s="423"/>
      <c r="I82" s="423"/>
      <c r="J82" s="423"/>
      <c r="L82" s="305"/>
      <c r="M82" s="55"/>
      <c r="N82" s="56"/>
      <c r="O82" s="55"/>
      <c r="P82" s="56"/>
      <c r="U82" s="55"/>
      <c r="V82" s="59"/>
      <c r="X82" s="55"/>
      <c r="AA82" s="59"/>
      <c r="AB82" s="55"/>
      <c r="AC82" s="55"/>
    </row>
    <row r="83" spans="3:29" s="427" customFormat="1" ht="36.75" customHeight="1" x14ac:dyDescent="0.5">
      <c r="C83" s="324"/>
      <c r="D83" s="325"/>
      <c r="H83" s="423"/>
      <c r="I83" s="423"/>
      <c r="J83" s="423"/>
      <c r="L83" s="305"/>
      <c r="M83" s="55"/>
      <c r="N83" s="56"/>
      <c r="O83" s="55"/>
      <c r="P83" s="56"/>
      <c r="U83" s="55"/>
      <c r="V83" s="59"/>
      <c r="X83" s="55"/>
      <c r="AA83" s="59"/>
      <c r="AB83" s="55"/>
      <c r="AC83" s="55"/>
    </row>
    <row r="84" spans="3:29" s="427" customFormat="1" ht="36.75" customHeight="1" x14ac:dyDescent="0.5">
      <c r="C84" s="324"/>
      <c r="D84" s="325"/>
      <c r="H84" s="423"/>
      <c r="I84" s="423"/>
      <c r="J84" s="423"/>
      <c r="L84" s="305"/>
      <c r="M84" s="55"/>
      <c r="N84" s="56"/>
      <c r="O84" s="55"/>
      <c r="P84" s="56"/>
      <c r="U84" s="55"/>
      <c r="V84" s="59"/>
      <c r="X84" s="55"/>
      <c r="AA84" s="59"/>
      <c r="AB84" s="55"/>
      <c r="AC84" s="55"/>
    </row>
    <row r="85" spans="3:29" s="427" customFormat="1" ht="36.75" customHeight="1" x14ac:dyDescent="0.5">
      <c r="C85" s="324"/>
      <c r="D85" s="325"/>
      <c r="H85" s="423"/>
      <c r="I85" s="423"/>
      <c r="J85" s="423"/>
      <c r="L85" s="305"/>
      <c r="M85" s="55"/>
      <c r="N85" s="56"/>
      <c r="O85" s="55"/>
      <c r="P85" s="56"/>
      <c r="U85" s="55"/>
      <c r="V85" s="59"/>
      <c r="X85" s="55"/>
      <c r="AA85" s="59"/>
      <c r="AB85" s="55"/>
      <c r="AC85" s="55"/>
    </row>
    <row r="86" spans="3:29" x14ac:dyDescent="0.3">
      <c r="C86" s="3"/>
      <c r="D86" s="4"/>
    </row>
    <row r="87" spans="3:29" x14ac:dyDescent="0.3">
      <c r="C87" s="3"/>
      <c r="D87" s="4"/>
    </row>
    <row r="88" spans="3:29" x14ac:dyDescent="0.3">
      <c r="C88" s="3"/>
      <c r="D88" s="4"/>
    </row>
    <row r="89" spans="3:29" x14ac:dyDescent="0.3">
      <c r="C89" s="3"/>
      <c r="D89" s="4"/>
    </row>
  </sheetData>
  <mergeCells count="63">
    <mergeCell ref="J78:L78"/>
    <mergeCell ref="C53:D53"/>
    <mergeCell ref="J61:K61"/>
    <mergeCell ref="E47:F47"/>
    <mergeCell ref="A1:L1"/>
    <mergeCell ref="V3:V4"/>
    <mergeCell ref="J62:K62"/>
    <mergeCell ref="J51:K51"/>
    <mergeCell ref="C57:D57"/>
    <mergeCell ref="J73:L73"/>
    <mergeCell ref="J72:L72"/>
    <mergeCell ref="J56:K56"/>
    <mergeCell ref="O70:P70"/>
    <mergeCell ref="O64:P64"/>
    <mergeCell ref="O60:P60"/>
    <mergeCell ref="O67:P67"/>
    <mergeCell ref="O66:P66"/>
    <mergeCell ref="AB3:AB4"/>
    <mergeCell ref="C70:D70"/>
    <mergeCell ref="AD3:AD4"/>
    <mergeCell ref="J66:K66"/>
    <mergeCell ref="C52:D52"/>
    <mergeCell ref="O61:P61"/>
    <mergeCell ref="C67:D67"/>
    <mergeCell ref="C66:D66"/>
    <mergeCell ref="Y3:Y4"/>
    <mergeCell ref="AA3:AA4"/>
    <mergeCell ref="O51:P51"/>
    <mergeCell ref="C71:D71"/>
    <mergeCell ref="J63:K63"/>
    <mergeCell ref="E49:F49"/>
    <mergeCell ref="C51:D51"/>
    <mergeCell ref="O62:P62"/>
    <mergeCell ref="C61:D61"/>
    <mergeCell ref="O56:P56"/>
    <mergeCell ref="A2:A3"/>
    <mergeCell ref="C2:C3"/>
    <mergeCell ref="J55:K55"/>
    <mergeCell ref="J70:K70"/>
    <mergeCell ref="C59:D59"/>
    <mergeCell ref="C60:D60"/>
    <mergeCell ref="E46:F46"/>
    <mergeCell ref="C69:D69"/>
    <mergeCell ref="C63:D63"/>
    <mergeCell ref="C65:D65"/>
    <mergeCell ref="O65:P65"/>
    <mergeCell ref="C55:D55"/>
    <mergeCell ref="O63:P63"/>
    <mergeCell ref="J65:K65"/>
    <mergeCell ref="O55:P55"/>
    <mergeCell ref="X3:X4"/>
    <mergeCell ref="B2:B3"/>
    <mergeCell ref="Z3:Z4"/>
    <mergeCell ref="D2:D3"/>
    <mergeCell ref="E48:F48"/>
    <mergeCell ref="W3:W4"/>
    <mergeCell ref="J64:K64"/>
    <mergeCell ref="J67:K67"/>
    <mergeCell ref="C62:D62"/>
    <mergeCell ref="C68:D68"/>
    <mergeCell ref="C58:D58"/>
    <mergeCell ref="C64:D64"/>
    <mergeCell ref="J60:K60"/>
  </mergeCells>
  <hyperlinks>
    <hyperlink ref="M34" r:id="rId1"/>
  </hyperlinks>
  <printOptions horizontalCentered="1"/>
  <pageMargins left="0.2" right="0.2" top="0.2" bottom="0" header="0" footer="0"/>
  <pageSetup paperSize="9" scale="34" fitToHeight="0" orientation="landscape" r:id="rId2"/>
  <headerFooter scaleWithDoc="0">
    <oddFooter>&amp;C&amp;"Times New Roman,Regular"&amp;8 92.2025/BG-TSI-SRR.E&amp;R&amp;"Times New Roman,Regular"&amp;8 Trang &amp;P/&amp;N</oddFooter>
  </headerFooter>
  <rowBreaks count="2" manualBreakCount="2">
    <brk id="25" max="11" man="1"/>
    <brk id="4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BOQ</vt:lpstr>
      <vt:lpstr>BOM</vt:lpstr>
      <vt:lpstr>tính cáp</vt:lpstr>
      <vt:lpstr>PTLL (2)</vt:lpstr>
      <vt:lpstr>BOM!Print_Area</vt:lpstr>
      <vt:lpstr>'PTLL (2)'!Print_Area</vt:lpstr>
      <vt:lpstr>BOM!Print_Titles</vt:lpstr>
      <vt:lpstr>'PTLL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cungung02</dc:creator>
  <cp:lastModifiedBy>Dell</cp:lastModifiedBy>
  <cp:lastPrinted>2026-07-04T06:58:55Z</cp:lastPrinted>
  <dcterms:created xsi:type="dcterms:W3CDTF">2022-05-13T03:36:18Z</dcterms:created>
  <dcterms:modified xsi:type="dcterms:W3CDTF">2026-07-22T03:34:33Z</dcterms:modified>
</cp:coreProperties>
</file>