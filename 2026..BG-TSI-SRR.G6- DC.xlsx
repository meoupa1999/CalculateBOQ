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hoang\Desktop\Hoang-IT\11_Dự án lô G6\"/>
    </mc:Choice>
  </mc:AlternateContent>
  <bookViews>
    <workbookView xWindow="-105" yWindow="-105" windowWidth="23250" windowHeight="12570" activeTab="7"/>
  </bookViews>
  <sheets>
    <sheet name="BGCTLOVAD" sheetId="28" r:id="rId1"/>
    <sheet name="PTLL (3)" sheetId="27" r:id="rId2"/>
    <sheet name="UPDATE-94CAM" sheetId="29" r:id="rId3"/>
    <sheet name="UPDATE_CONGSUAT" sheetId="21" r:id="rId4"/>
    <sheet name="TÓM TẮT BG" sheetId="25" r:id="rId5"/>
    <sheet name="bgct" sheetId="24" r:id="rId6"/>
    <sheet name="Sheet1" sheetId="23" r:id="rId7"/>
    <sheet name="Sheet3" sheetId="30" r:id="rId8"/>
    <sheet name="PTLL (2)" sheetId="19"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 localSheetId="8">#REF!</definedName>
    <definedName name="_??????" localSheetId="8">#REF!</definedName>
    <definedName name="__abb91" localSheetId="8">[1]chitimc!#REF!</definedName>
    <definedName name="__CT250" localSheetId="8">'[1]dongia (2)'!#REF!</definedName>
    <definedName name="__ddn400" localSheetId="8">#REF!</definedName>
    <definedName name="__ddn600" localSheetId="8">#REF!</definedName>
    <definedName name="__dgt100" localSheetId="8">'[1]dongia (2)'!#REF!</definedName>
    <definedName name="__MAC12" localSheetId="8">#REF!</definedName>
    <definedName name="__MAC46" localSheetId="8">#REF!</definedName>
    <definedName name="__NCL100" localSheetId="8">#REF!</definedName>
    <definedName name="__NCL200" localSheetId="8">#REF!</definedName>
    <definedName name="__NCL250" localSheetId="8">#REF!</definedName>
    <definedName name="__nin190" localSheetId="8">[2]VC!#REF!</definedName>
    <definedName name="__sc1" localSheetId="8">#REF!</definedName>
    <definedName name="__SC2" localSheetId="8">#REF!</definedName>
    <definedName name="__sc3" localSheetId="8">[2]VC!#REF!</definedName>
    <definedName name="__SN3" localSheetId="8">#REF!</definedName>
    <definedName name="__th100" localSheetId="8">'[1]dongia (2)'!#REF!</definedName>
    <definedName name="__TH160" localSheetId="8">'[1]dongia (2)'!#REF!</definedName>
    <definedName name="__TL1" localSheetId="8">#REF!</definedName>
    <definedName name="__TL2" localSheetId="8">#REF!</definedName>
    <definedName name="__TL3" localSheetId="8">#REF!</definedName>
    <definedName name="__TLA120" localSheetId="8">#REF!</definedName>
    <definedName name="__TLA35" localSheetId="8">#REF!</definedName>
    <definedName name="__TLA50" localSheetId="8">#REF!</definedName>
    <definedName name="__TLA70" localSheetId="8">#REF!</definedName>
    <definedName name="__TLA95" localSheetId="8">#REF!</definedName>
    <definedName name="__TR250" localSheetId="8">'[1]dongia (2)'!#REF!</definedName>
    <definedName name="__tr375" localSheetId="8">[1]giathanh1!#REF!</definedName>
    <definedName name="__VL100" localSheetId="8">#REF!</definedName>
    <definedName name="__VL200" localSheetId="8">#REF!</definedName>
    <definedName name="_1_?" localSheetId="8">#REF!</definedName>
    <definedName name="_2_??????" localSheetId="8">#REF!</definedName>
    <definedName name="_abb91" localSheetId="8">[1]chitimc!#REF!</definedName>
    <definedName name="_CT250" localSheetId="8">'[1]dongia (2)'!#REF!</definedName>
    <definedName name="_ddn400" localSheetId="8">#REF!</definedName>
    <definedName name="_ddn600" localSheetId="8">#REF!</definedName>
    <definedName name="_dgt100" localSheetId="8">'[1]dongia (2)'!#REF!</definedName>
    <definedName name="_Fill" localSheetId="8" hidden="1">#REF!</definedName>
    <definedName name="_Fill" localSheetId="3" hidden="1">#REF!</definedName>
    <definedName name="_Fill" localSheetId="2" hidden="1">#REF!</definedName>
    <definedName name="_Fill" hidden="1">#REF!</definedName>
    <definedName name="_xlnm._FilterDatabase" localSheetId="5" hidden="1">bgct!$A$9:$P$57</definedName>
    <definedName name="_xlnm._FilterDatabase" localSheetId="8" hidden="1">'PTLL (2)'!$A$3:$AD$50</definedName>
    <definedName name="_Key1" localSheetId="8" hidden="1">#REF!</definedName>
    <definedName name="_Key1" localSheetId="3" hidden="1">#REF!</definedName>
    <definedName name="_Key1" localSheetId="2" hidden="1">#REF!</definedName>
    <definedName name="_Key1" hidden="1">#REF!</definedName>
    <definedName name="_Key2" localSheetId="8" hidden="1">#REF!</definedName>
    <definedName name="_Key2" localSheetId="2" hidden="1">#REF!</definedName>
    <definedName name="_Key2" hidden="1">#REF!</definedName>
    <definedName name="_MAC12" localSheetId="8">#REF!</definedName>
    <definedName name="_MAC46" localSheetId="8">#REF!</definedName>
    <definedName name="_NCL100" localSheetId="8">#REF!</definedName>
    <definedName name="_NCL200" localSheetId="8">#REF!</definedName>
    <definedName name="_NCL250" localSheetId="8">#REF!</definedName>
    <definedName name="_nin190" localSheetId="8">[3]VC!#REF!</definedName>
    <definedName name="_Order1" hidden="1">255</definedName>
    <definedName name="_Order2" hidden="1">255</definedName>
    <definedName name="_sc1" localSheetId="8">#REF!</definedName>
    <definedName name="_SC2" localSheetId="8">#REF!</definedName>
    <definedName name="_sc3" localSheetId="8">[3]VC!#REF!</definedName>
    <definedName name="_SN3" localSheetId="8">#REF!</definedName>
    <definedName name="_Sort" localSheetId="8" hidden="1">#REF!</definedName>
    <definedName name="_Sort" localSheetId="2" hidden="1">#REF!</definedName>
    <definedName name="_Sort" hidden="1">#REF!</definedName>
    <definedName name="_th100" localSheetId="8">'[1]dongia (2)'!#REF!</definedName>
    <definedName name="_TH160" localSheetId="8">'[1]dongia (2)'!#REF!</definedName>
    <definedName name="_TL1" localSheetId="8">#REF!</definedName>
    <definedName name="_TL2" localSheetId="8">#REF!</definedName>
    <definedName name="_TL3" localSheetId="8">#REF!</definedName>
    <definedName name="_TLA120" localSheetId="8">#REF!</definedName>
    <definedName name="_TLA35" localSheetId="8">#REF!</definedName>
    <definedName name="_TLA50" localSheetId="8">#REF!</definedName>
    <definedName name="_TLA70" localSheetId="8">#REF!</definedName>
    <definedName name="_TLA95" localSheetId="8">#REF!</definedName>
    <definedName name="_TR250" localSheetId="8">'[1]dongia (2)'!#REF!</definedName>
    <definedName name="_tr375" localSheetId="8">[1]giathanh1!#REF!</definedName>
    <definedName name="_VL100" localSheetId="8">#REF!</definedName>
    <definedName name="_VL200" localSheetId="8">#REF!</definedName>
    <definedName name="_VL250" localSheetId="8">#REF!</definedName>
    <definedName name="A" localSheetId="8">#REF!</definedName>
    <definedName name="A120_" localSheetId="8">#REF!</definedName>
    <definedName name="A35_" localSheetId="8">#REF!</definedName>
    <definedName name="A50_" localSheetId="8">#REF!</definedName>
    <definedName name="A70_" localSheetId="8">#REF!</definedName>
    <definedName name="A95_" localSheetId="8">#REF!</definedName>
    <definedName name="AC120_" localSheetId="8">#REF!</definedName>
    <definedName name="AC35_" localSheetId="8">#REF!</definedName>
    <definedName name="AC50_" localSheetId="8">#REF!</definedName>
    <definedName name="AC70_" localSheetId="8">#REF!</definedName>
    <definedName name="AC95_" localSheetId="8">#REF!</definedName>
    <definedName name="ag142X42" localSheetId="8">[1]chitimc!#REF!</definedName>
    <definedName name="ag267N59" localSheetId="8">[1]chitimc!#REF!</definedName>
    <definedName name="as" localSheetId="8">#REF!</definedName>
    <definedName name="b" localSheetId="8">#REF!</definedName>
    <definedName name="b_240" localSheetId="8">'[1]THPDMoi  (2)'!#REF!</definedName>
    <definedName name="b_280" localSheetId="8">'[1]THPDMoi  (2)'!#REF!</definedName>
    <definedName name="b_320" localSheetId="8">'[1]THPDMoi  (2)'!#REF!</definedName>
    <definedName name="B33VNit" localSheetId="8">'[4]VT-NC'!#REF!</definedName>
    <definedName name="BangChu" localSheetId="8">#REF!</definedName>
    <definedName name="bangciti" localSheetId="8">'[1]dongia (2)'!#REF!</definedName>
    <definedName name="bdht15nc" localSheetId="8">#REF!</definedName>
    <definedName name="bdht15vl" localSheetId="8">#REF!</definedName>
    <definedName name="bdht25nc" localSheetId="8">#REF!</definedName>
    <definedName name="bdht25vl" localSheetId="8">#REF!</definedName>
    <definedName name="bdht325nc" localSheetId="8">#REF!</definedName>
    <definedName name="bdht325vl" localSheetId="8">#REF!</definedName>
    <definedName name="bia" localSheetId="8">#REF!</definedName>
    <definedName name="bm" localSheetId="8">#REF!</definedName>
    <definedName name="BuGia" localSheetId="8">#REF!</definedName>
    <definedName name="cam" localSheetId="8">#REF!</definedName>
    <definedName name="CCS" localSheetId="8">#REF!</definedName>
    <definedName name="cd" localSheetId="8">#REF!</definedName>
    <definedName name="CDD" localSheetId="8">#REF!</definedName>
    <definedName name="CDDD" localSheetId="8">'[1]THPDMoi  (2)'!#REF!</definedName>
    <definedName name="cgionc" localSheetId="8">'[1]lam-moi'!#REF!</definedName>
    <definedName name="cgiovl" localSheetId="8">'[1]lam-moi'!#REF!</definedName>
    <definedName name="ch" localSheetId="8">#REF!</definedName>
    <definedName name="chnc" localSheetId="8">[5]CHITIET!#REF!</definedName>
    <definedName name="chvl" localSheetId="8">[5]CHITIET!#REF!</definedName>
    <definedName name="citidd" localSheetId="8">'[1]dongia (2)'!#REF!</definedName>
    <definedName name="CK" localSheetId="8">#REF!</definedName>
    <definedName name="CLGia" localSheetId="8">#REF!</definedName>
    <definedName name="CLVCTB" localSheetId="8">#REF!</definedName>
    <definedName name="CLVL" localSheetId="8">[6]ctdg!#REF!</definedName>
    <definedName name="co" localSheetId="8">#REF!</definedName>
    <definedName name="Cöï_ly_vaän_chuyeãn" localSheetId="8">#REF!</definedName>
    <definedName name="CÖÏ_LY_VAÄN_CHUYEÅN" localSheetId="8">#REF!</definedName>
    <definedName name="cong1x15" localSheetId="8">[1]giathanh1!#REF!</definedName>
    <definedName name="CPVC100" localSheetId="8">#REF!</definedName>
    <definedName name="CRD" localSheetId="8">#REF!</definedName>
    <definedName name="CRS" localSheetId="8">#REF!</definedName>
    <definedName name="CS" localSheetId="8">#REF!</definedName>
    <definedName name="csd3p" localSheetId="8">#REF!</definedName>
    <definedName name="csddg1p" localSheetId="8">#REF!</definedName>
    <definedName name="csddt1p" localSheetId="8">#REF!</definedName>
    <definedName name="csht3p" localSheetId="8">#REF!</definedName>
    <definedName name="ctdg" localSheetId="8">[7]ctdg!#REF!</definedName>
    <definedName name="cti3x15" localSheetId="8">[1]giathanh1!#REF!</definedName>
    <definedName name="CTNHAP" localSheetId="8">#REF!</definedName>
    <definedName name="cu" localSheetId="8">#REF!</definedName>
    <definedName name="cw" localSheetId="8">#REF!</definedName>
    <definedName name="CX" localSheetId="8">#REF!</definedName>
    <definedName name="D1x49" localSheetId="8">[1]chitimc!#REF!</definedName>
    <definedName name="D1x49x49" localSheetId="8">[1]chitimc!#REF!</definedName>
    <definedName name="Data" localSheetId="8">#REF!</definedName>
    <definedName name="DATA_DATA2_List" localSheetId="8">#REF!</definedName>
    <definedName name="dd" localSheetId="8">#REF!</definedName>
    <definedName name="dd3pctnc" localSheetId="8">[5]CHITIET!#REF!</definedName>
    <definedName name="dd3pctvl" localSheetId="8">[5]CHITIET!#REF!</definedName>
    <definedName name="dd3plmvl" localSheetId="8">'[1]lam-moi'!#REF!</definedName>
    <definedName name="dd3pnc" localSheetId="8">[5]CHITIET!#REF!</definedName>
    <definedName name="dd3pvl" localSheetId="8">[5]CHITIET!#REF!</definedName>
    <definedName name="ddhtnc" localSheetId="8">'[1]lam-moi'!#REF!</definedName>
    <definedName name="ddhtvl" localSheetId="8">'[1]lam-moi'!#REF!</definedName>
    <definedName name="ddt2nc" localSheetId="8">#REF!</definedName>
    <definedName name="ddt2vl" localSheetId="8">#REF!</definedName>
    <definedName name="ddtd3pnc" localSheetId="8">'[1]thao-go'!#REF!</definedName>
    <definedName name="ddtt1pnc" localSheetId="8">#REF!</definedName>
    <definedName name="ddtt1pvl" localSheetId="8">#REF!</definedName>
    <definedName name="ddtt3pnc" localSheetId="8">#REF!</definedName>
    <definedName name="ddtt3pvl" localSheetId="8">#REF!</definedName>
    <definedName name="dgbdII" localSheetId="8">#REF!</definedName>
    <definedName name="dgqndn" localSheetId="8">#REF!</definedName>
    <definedName name="DL15HT" localSheetId="8">'[1]TONGKE-HT'!#REF!</definedName>
    <definedName name="DL16HT" localSheetId="8">'[1]TONGKE-HT'!#REF!</definedName>
    <definedName name="DL19HT" localSheetId="8">'[1]TONGKE-HT'!#REF!</definedName>
    <definedName name="DL20HT" localSheetId="8">'[1]TONGKE-HT'!#REF!</definedName>
    <definedName name="dm56bxd" localSheetId="8">#REF!</definedName>
    <definedName name="ds1pnc" localSheetId="8">#REF!</definedName>
    <definedName name="ds1pvl" localSheetId="8">#REF!</definedName>
    <definedName name="ds3pnc" localSheetId="8">#REF!</definedName>
    <definedName name="ds3pvl" localSheetId="8">#REF!</definedName>
    <definedName name="dsct3pnc" localSheetId="8">'[1]#REF'!#REF!</definedName>
    <definedName name="dsct3pvl" localSheetId="8">'[1]#REF'!#REF!</definedName>
    <definedName name="DVu_ThepDVu110" localSheetId="8">'[8]CBKC-110'!#REF!</definedName>
    <definedName name="eu" localSheetId="8">#REF!</definedName>
    <definedName name="f" localSheetId="8">#REF!</definedName>
    <definedName name="f92F56" localSheetId="8">[1]dtxl!#REF!</definedName>
    <definedName name="fa" localSheetId="8">#REF!</definedName>
    <definedName name="fcu" localSheetId="8">#REF!</definedName>
    <definedName name="fi" localSheetId="8">#REF!</definedName>
    <definedName name="fu" localSheetId="8">#REF!</definedName>
    <definedName name="ge" localSheetId="8">#REF!</definedName>
    <definedName name="gef" localSheetId="8">#REF!</definedName>
    <definedName name="gi" localSheetId="8">#REF!</definedName>
    <definedName name="gl3p" localSheetId="8">#REF!</definedName>
    <definedName name="Gqlda" localSheetId="8">#REF!</definedName>
    <definedName name="Gxd" localSheetId="8">#REF!</definedName>
    <definedName name="h" localSheetId="8">#REF!</definedName>
    <definedName name="HDong_VDinh110" localSheetId="8">'[8]CBKC-110'!#REF!</definedName>
    <definedName name="HDXUAT" localSheetId="8">#REF!</definedName>
    <definedName name="heä_soá_sình_laày" localSheetId="8">#REF!</definedName>
    <definedName name="HH15HT" localSheetId="8">'[9]TONGKE-HT'!#REF!</definedName>
    <definedName name="HH16HT" localSheetId="8">'[9]TONGKE-HT'!#REF!</definedName>
    <definedName name="HH19HT" localSheetId="8">'[9]TONGKE-HT'!#REF!</definedName>
    <definedName name="HH20HT" localSheetId="8">'[9]TONGKE-HT'!#REF!</definedName>
    <definedName name="hsdc1" localSheetId="8">#REF!</definedName>
    <definedName name="HSHH" localSheetId="8">#REF!</definedName>
    <definedName name="HSHHUT" localSheetId="8">#REF!</definedName>
    <definedName name="HSSL" localSheetId="8">#REF!</definedName>
    <definedName name="HSTL" localSheetId="8">#REF!</definedName>
    <definedName name="HSVC1" localSheetId="8">#REF!</definedName>
    <definedName name="HSVC2" localSheetId="8">#REF!</definedName>
    <definedName name="HSVC3" localSheetId="8">#REF!</definedName>
    <definedName name="ht25nc" localSheetId="8">[10]CHITIET!#REF!</definedName>
    <definedName name="ht25vl" localSheetId="8">[10]CHITIET!#REF!</definedName>
    <definedName name="ht325nc" localSheetId="8">[10]CHITIET!#REF!</definedName>
    <definedName name="ht325vl" localSheetId="8">[10]CHITIET!#REF!</definedName>
    <definedName name="ht37k" localSheetId="8">[10]CHITIET!#REF!</definedName>
    <definedName name="ht37nc" localSheetId="8">[10]CHITIET!#REF!</definedName>
    <definedName name="ht50nc" localSheetId="8">[10]CHITIET!#REF!</definedName>
    <definedName name="ht50vl" localSheetId="8">[10]CHITIET!#REF!</definedName>
    <definedName name="HTML_CodePage" hidden="1">950</definedName>
    <definedName name="HTML_Control" localSheetId="3"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8">#REF!</definedName>
    <definedName name="HTVL" localSheetId="8">#REF!</definedName>
    <definedName name="I2É6" localSheetId="8">[1]chitimc!#REF!</definedName>
    <definedName name="in" localSheetId="8">#REF!</definedName>
    <definedName name="j" localSheetId="8">#REF!</definedName>
    <definedName name="k" localSheetId="8">#REF!</definedName>
    <definedName name="k2b" localSheetId="8">'[1]THPDMoi  (2)'!#REF!</definedName>
    <definedName name="kldd1p" localSheetId="8">#REF!</definedName>
    <definedName name="kldd3p" localSheetId="8">[5]CHITIET!#REF!</definedName>
    <definedName name="kmong" localSheetId="8">[1]giathanh1!#REF!</definedName>
    <definedName name="kp1ph" localSheetId="8">#REF!</definedName>
    <definedName name="KTHD" localSheetId="8">'[11]khung ten TD'!#REF!</definedName>
    <definedName name="l" localSheetId="8">#REF!</definedName>
    <definedName name="LA" localSheetId="8">#REF!</definedName>
    <definedName name="le" localSheetId="8">#REF!</definedName>
    <definedName name="lg" localSheetId="8">#REF!</definedName>
    <definedName name="LIGHT" localSheetId="8">#REF!</definedName>
    <definedName name="lm" localSheetId="8">#REF!</definedName>
    <definedName name="lt" localSheetId="8">#REF!</definedName>
    <definedName name="lte" localSheetId="8">#REF!</definedName>
    <definedName name="ltn" localSheetId="8">#REF!</definedName>
    <definedName name="m" localSheetId="8">#REF!</definedName>
    <definedName name="m102bnnc" localSheetId="8">[5]CHITIET!#REF!</definedName>
    <definedName name="m102bnvl" localSheetId="8">[5]CHITIET!#REF!</definedName>
    <definedName name="m10aamtc" localSheetId="8">'[1]t-h HA THE'!#REF!</definedName>
    <definedName name="m10anc" localSheetId="8">[3]chitiet!#REF!</definedName>
    <definedName name="m10avl" localSheetId="8">[3]chitiet!#REF!</definedName>
    <definedName name="m122bnnc" localSheetId="8">[5]CHITIET!#REF!</definedName>
    <definedName name="m122bnvl" localSheetId="8">[5]CHITIET!#REF!</definedName>
    <definedName name="m12aanc" localSheetId="8">[5]CHITIET!#REF!</definedName>
    <definedName name="m12aavl" localSheetId="8">[5]CHITIET!#REF!</definedName>
    <definedName name="m12anc" localSheetId="8">[5]CHITIET!#REF!</definedName>
    <definedName name="m12avl" localSheetId="8">[5]CHITIET!#REF!</definedName>
    <definedName name="M12ba3p" localSheetId="8">#REF!</definedName>
    <definedName name="M12bb1p" localSheetId="8">#REF!</definedName>
    <definedName name="m12bbnc" localSheetId="8">[5]CHITIET!#REF!</definedName>
    <definedName name="m12bbvl" localSheetId="8">[5]CHITIET!#REF!</definedName>
    <definedName name="M12bnnc" localSheetId="8">'[1]#REF'!#REF!</definedName>
    <definedName name="M12bnvl" localSheetId="8">'[1]#REF'!#REF!</definedName>
    <definedName name="M12cbnc" localSheetId="8">#REF!</definedName>
    <definedName name="M12cbvl" localSheetId="8">#REF!</definedName>
    <definedName name="m142bnnc" localSheetId="8">[5]CHITIET!#REF!</definedName>
    <definedName name="m142bnvl" localSheetId="8">[5]CHITIET!#REF!</definedName>
    <definedName name="M14bb1p" localSheetId="8">#REF!</definedName>
    <definedName name="M14bbvc" localSheetId="8">'[1]CHITIET VL-NC-TT -1p'!#REF!</definedName>
    <definedName name="M8a" localSheetId="8">'[1]THPDMoi  (2)'!#REF!</definedName>
    <definedName name="M8aa" localSheetId="8">'[1]THPDMoi  (2)'!#REF!</definedName>
    <definedName name="m8aanc" localSheetId="8">#REF!</definedName>
    <definedName name="m8aavl" localSheetId="8">#REF!</definedName>
    <definedName name="m8amtc" localSheetId="8">'[1]t-h HA THE'!#REF!</definedName>
    <definedName name="MA" localSheetId="8">#REF!</definedName>
    <definedName name="Ma3pnc" localSheetId="8">#REF!</definedName>
    <definedName name="Ma3pvl" localSheetId="8">#REF!</definedName>
    <definedName name="Maa3pnc" localSheetId="8">#REF!</definedName>
    <definedName name="Maa3pvl" localSheetId="8">#REF!</definedName>
    <definedName name="MAKH" localSheetId="8">#REF!</definedName>
    <definedName name="Mba1p" localSheetId="8">#REF!</definedName>
    <definedName name="Mba3p" localSheetId="8">#REF!</definedName>
    <definedName name="Mbb3p" localSheetId="8">#REF!</definedName>
    <definedName name="Mbn1p" localSheetId="8">#REF!</definedName>
    <definedName name="mbnc" localSheetId="8">[5]CHITIET!#REF!</definedName>
    <definedName name="mbvl" localSheetId="8">[5]CHITIET!#REF!</definedName>
    <definedName name="mg" localSheetId="8">#REF!</definedName>
    <definedName name="mmm" localSheetId="8">[1]giathanh1!#REF!</definedName>
    <definedName name="mp1x25" localSheetId="8">'[1]dongia (2)'!#REF!</definedName>
    <definedName name="MTC1P" localSheetId="8">'[1]TONG HOP VL-NC TT'!#REF!</definedName>
    <definedName name="MTC3P" localSheetId="8">'[1]TONG HOP VL-NC TT'!#REF!</definedName>
    <definedName name="MTCMB" localSheetId="8">'[1]#REF'!#REF!</definedName>
    <definedName name="MTMAC12" localSheetId="8">#REF!</definedName>
    <definedName name="mtr" localSheetId="8">#REF!</definedName>
    <definedName name="mtram" localSheetId="8">#REF!</definedName>
    <definedName name="n" localSheetId="8">#REF!</definedName>
    <definedName name="n1pig" localSheetId="8">[3]VC!#REF!</definedName>
    <definedName name="n1pind" localSheetId="8">[3]VC!#REF!</definedName>
    <definedName name="n1ping" localSheetId="8">[3]VC!#REF!</definedName>
    <definedName name="n1pint" localSheetId="8">[3]VC!#REF!</definedName>
    <definedName name="n1pintnc" localSheetId="8">[5]CHITIET!#REF!</definedName>
    <definedName name="n1pintvl" localSheetId="8">[5]CHITIET!#REF!</definedName>
    <definedName name="n2mignc" localSheetId="8">'[1]lam-moi'!#REF!</definedName>
    <definedName name="n2migvl" localSheetId="8">'[1]lam-moi'!#REF!</definedName>
    <definedName name="n2min1nc" localSheetId="8">'[1]lam-moi'!#REF!</definedName>
    <definedName name="n2min1vl" localSheetId="8">'[1]lam-moi'!#REF!</definedName>
    <definedName name="nc1nc" localSheetId="8">[5]CHITIET!#REF!</definedName>
    <definedName name="nc1p" localSheetId="8">#REF!</definedName>
    <definedName name="nc1vl" localSheetId="8">[5]CHITIET!#REF!</definedName>
    <definedName name="nc3p" localSheetId="8">#REF!</definedName>
    <definedName name="NCBD100" localSheetId="8">#REF!</definedName>
    <definedName name="NCBD200" localSheetId="8">#REF!</definedName>
    <definedName name="NCBD250" localSheetId="8">#REF!</definedName>
    <definedName name="ncdd" localSheetId="8">#REF!</definedName>
    <definedName name="NCDD2" localSheetId="8">#REF!</definedName>
    <definedName name="nctr" localSheetId="8">#REF!</definedName>
    <definedName name="nctram" localSheetId="8">#REF!</definedName>
    <definedName name="NCVC100" localSheetId="8">#REF!</definedName>
    <definedName name="NCVC200" localSheetId="8">#REF!</definedName>
    <definedName name="NCVC250" localSheetId="8">#REF!</definedName>
    <definedName name="NCVC3P" localSheetId="8">#REF!</definedName>
    <definedName name="nhn" localSheetId="8">[3]VC!#REF!</definedName>
    <definedName name="nhnnc" localSheetId="8">[5]CHITIET!#REF!</definedName>
    <definedName name="nhnvl" localSheetId="8">[5]CHITIET!#REF!</definedName>
    <definedName name="nig" localSheetId="8">[3]VC!#REF!</definedName>
    <definedName name="nig1p" localSheetId="8">#REF!</definedName>
    <definedName name="nig3p" localSheetId="8">#REF!</definedName>
    <definedName name="nightnc" localSheetId="8">#REF!</definedName>
    <definedName name="nightvl" localSheetId="8">#REF!</definedName>
    <definedName name="nignc1p" localSheetId="8">#REF!</definedName>
    <definedName name="nigvl1p" localSheetId="8">#REF!</definedName>
    <definedName name="nin" localSheetId="8">[3]VC!#REF!</definedName>
    <definedName name="nin14nc3p" localSheetId="8">#REF!</definedName>
    <definedName name="nin14vl3p" localSheetId="8">#REF!</definedName>
    <definedName name="nin1903p" localSheetId="8">#REF!</definedName>
    <definedName name="nin190nc3p" localSheetId="8">#REF!</definedName>
    <definedName name="nin190vl3p" localSheetId="8">#REF!</definedName>
    <definedName name="nin2903p" localSheetId="8">#REF!</definedName>
    <definedName name="nin290nc3p" localSheetId="8">#REF!</definedName>
    <definedName name="nin290vl3p" localSheetId="8">#REF!</definedName>
    <definedName name="nin3p" localSheetId="8">#REF!</definedName>
    <definedName name="nind" localSheetId="8">[3]VC!#REF!</definedName>
    <definedName name="nind1p" localSheetId="8">#REF!</definedName>
    <definedName name="nind3p" localSheetId="8">#REF!</definedName>
    <definedName name="nindnc1p" localSheetId="8">#REF!</definedName>
    <definedName name="nindnc3p" localSheetId="8">#REF!</definedName>
    <definedName name="nindvl1p" localSheetId="8">#REF!</definedName>
    <definedName name="nindvl3p" localSheetId="8">#REF!</definedName>
    <definedName name="ning1p" localSheetId="8">#REF!</definedName>
    <definedName name="ningnc1p" localSheetId="8">#REF!</definedName>
    <definedName name="ningvl1p" localSheetId="8">#REF!</definedName>
    <definedName name="ninnc3p" localSheetId="8">#REF!</definedName>
    <definedName name="nint1p" localSheetId="8">#REF!</definedName>
    <definedName name="nintnc1p" localSheetId="8">#REF!</definedName>
    <definedName name="nintvl1p" localSheetId="8">#REF!</definedName>
    <definedName name="ninvl3p" localSheetId="8">#REF!</definedName>
    <definedName name="nl" localSheetId="8">[3]VC!#REF!</definedName>
    <definedName name="NL12nc" localSheetId="8">'[1]#REF'!#REF!</definedName>
    <definedName name="NL12vl" localSheetId="8">'[1]#REF'!#REF!</definedName>
    <definedName name="nl1p" localSheetId="8">[3]VC!#REF!</definedName>
    <definedName name="nl3p" localSheetId="8">#REF!</definedName>
    <definedName name="nlht" localSheetId="8">'[1]THPDMoi  (2)'!#REF!</definedName>
    <definedName name="nlmtc" localSheetId="8">'[1]t-h HA THE'!#REF!</definedName>
    <definedName name="nlnc3p" localSheetId="8">#REF!</definedName>
    <definedName name="nlnc3pha" localSheetId="8">#REF!</definedName>
    <definedName name="NLTK1p" localSheetId="8">#REF!</definedName>
    <definedName name="nlvl3p" localSheetId="8">#REF!</definedName>
    <definedName name="nn" localSheetId="8">[3]VC!#REF!</definedName>
    <definedName name="nn1p" localSheetId="8">[3]VC!#REF!</definedName>
    <definedName name="nn3p" localSheetId="8">#REF!</definedName>
    <definedName name="nnnc" localSheetId="8">[5]CHITIET!#REF!</definedName>
    <definedName name="nnnc3p" localSheetId="8">#REF!</definedName>
    <definedName name="nnvl" localSheetId="8">[5]CHITIET!#REF!</definedName>
    <definedName name="nnvl3p" localSheetId="8">#REF!</definedName>
    <definedName name="NR_HaLong110" localSheetId="8">'[8]CBKC-110'!#REF!</definedName>
    <definedName name="nx" localSheetId="8">'[1]THPDMoi  (2)'!#REF!</definedName>
    <definedName name="nxmtc" localSheetId="8">'[1]t-h HA THE'!#REF!</definedName>
    <definedName name="osc" localSheetId="8">'[1]THPDMoi  (2)'!#REF!</definedName>
    <definedName name="ot" localSheetId="8">#REF!</definedName>
    <definedName name="p" localSheetId="8">#REF!</definedName>
    <definedName name="pa" localSheetId="8">#REF!</definedName>
    <definedName name="ppr" localSheetId="8">#REF!</definedName>
    <definedName name="_xlnm.Print_Area" localSheetId="8">'PTLL (2)'!$A$1:$L$79</definedName>
    <definedName name="_xlnm.Print_Titles" localSheetId="8">'PTLL (2)'!$B:$B,'PTLL (2)'!$2:$3</definedName>
    <definedName name="_xlnm.Print_Titles" localSheetId="2">'UPDATE-94CAM'!$4:$4</definedName>
    <definedName name="pvc" localSheetId="8">#REF!</definedName>
    <definedName name="Q" localSheetId="8">[1]giathanh1!#REF!</definedName>
    <definedName name="ra11p" localSheetId="8">#REF!</definedName>
    <definedName name="ra13p" localSheetId="8">#REF!</definedName>
    <definedName name="rack1" localSheetId="8">'[1]THPDMoi  (2)'!#REF!</definedName>
    <definedName name="rack2" localSheetId="8">'[1]THPDMoi  (2)'!#REF!</definedName>
    <definedName name="rack3" localSheetId="8">'[1]THPDMoi  (2)'!#REF!</definedName>
    <definedName name="rack4" localSheetId="8">'[1]THPDMoi  (2)'!#REF!</definedName>
    <definedName name="sa" localSheetId="8">#REF!</definedName>
    <definedName name="sad" localSheetId="8">#REF!</definedName>
    <definedName name="San_Tennis" localSheetId="8">'[8]CBKC-110'!#REF!</definedName>
    <definedName name="San_truoc" localSheetId="8">[12]tienluong!#REF!</definedName>
    <definedName name="sd3p" localSheetId="8">'[1]lam-moi'!#REF!</definedName>
    <definedName name="SDMONG" localSheetId="8">#REF!</definedName>
    <definedName name="sgnc" localSheetId="8">#REF!</definedName>
    <definedName name="sgvl" localSheetId="8">#REF!</definedName>
    <definedName name="shasa" localSheetId="8">#REF!</definedName>
    <definedName name="sht" localSheetId="8">'[1]THPDMoi  (2)'!#REF!</definedName>
    <definedName name="sht3p" localSheetId="8">'[1]lam-moi'!#REF!</definedName>
    <definedName name="sin" localSheetId="8">#REF!</definedName>
    <definedName name="SL_CRD" localSheetId="8">#REF!</definedName>
    <definedName name="SL_CRS" localSheetId="8">#REF!</definedName>
    <definedName name="SL_CS" localSheetId="8">#REF!</definedName>
    <definedName name="SL_DD" localSheetId="8">#REF!</definedName>
    <definedName name="soc3p" localSheetId="8">#REF!</definedName>
    <definedName name="sp" localSheetId="8">#REF!</definedName>
    <definedName name="spk1p" localSheetId="8">#REF!</definedName>
    <definedName name="spk3p" localSheetId="8">[5]CHITIET!#REF!</definedName>
    <definedName name="st3p" localSheetId="8">'[1]lam-moi'!#REF!</definedName>
    <definedName name="stp" localSheetId="8">#REF!</definedName>
    <definedName name="SumMTC" localSheetId="8">#REF!</definedName>
    <definedName name="SumNC" localSheetId="8">#REF!</definedName>
    <definedName name="sw" localSheetId="8">#REF!</definedName>
    <definedName name="t101p" localSheetId="8">[3]VC!#REF!</definedName>
    <definedName name="t103p" localSheetId="8">[3]VC!#REF!</definedName>
    <definedName name="t105mnc" localSheetId="8">'[1]thao-go'!#REF!</definedName>
    <definedName name="t10m" localSheetId="8">'[1]lam-moi'!#REF!</definedName>
    <definedName name="t10nc1p" localSheetId="8">#REF!</definedName>
    <definedName name="t10ncm" localSheetId="8">'[1]lam-moi'!#REF!</definedName>
    <definedName name="t10vl1p" localSheetId="8">#REF!</definedName>
    <definedName name="t121p" localSheetId="8">[3]VC!#REF!</definedName>
    <definedName name="t123p" localSheetId="8">[3]VC!#REF!</definedName>
    <definedName name="t12m" localSheetId="8">'[1]lam-moi'!#REF!</definedName>
    <definedName name="t12mnc" localSheetId="8">'[1]thao-go'!#REF!</definedName>
    <definedName name="t12ncm" localSheetId="8">'[1]lam-moi'!#REF!</definedName>
    <definedName name="t141p" localSheetId="8">[3]VC!#REF!</definedName>
    <definedName name="t143p" localSheetId="8">[3]VC!#REF!</definedName>
    <definedName name="t14m" localSheetId="8">'[1]lam-moi'!#REF!</definedName>
    <definedName name="t14mnc" localSheetId="8">'[1]thao-go'!#REF!</definedName>
    <definedName name="t14nc3p" localSheetId="8">#REF!</definedName>
    <definedName name="t14ncm" localSheetId="8">'[1]lam-moi'!#REF!</definedName>
    <definedName name="T14vc" localSheetId="8">'[1]CHITIET VL-NC-TT -1p'!#REF!</definedName>
    <definedName name="t14vl3p" localSheetId="8">#REF!</definedName>
    <definedName name="T203P" localSheetId="8">[3]VC!#REF!</definedName>
    <definedName name="t20m" localSheetId="8">'[1]lam-moi'!#REF!</definedName>
    <definedName name="t20ncm" localSheetId="8">'[1]lam-moi'!#REF!</definedName>
    <definedName name="t7m" localSheetId="8">'[1]THPDMoi  (2)'!#REF!</definedName>
    <definedName name="t84mnc" localSheetId="8">'[1]thao-go'!#REF!</definedName>
    <definedName name="t8m" localSheetId="8">'[1]THPDMoi  (2)'!#REF!</definedName>
    <definedName name="ta" localSheetId="8">#REF!</definedName>
    <definedName name="tb" localSheetId="8">#REF!</definedName>
    <definedName name="tbdd1p" localSheetId="8">'[1]lam-moi'!#REF!</definedName>
    <definedName name="tbdd3p" localSheetId="8">'[1]lam-moi'!#REF!</definedName>
    <definedName name="tbddsdl" localSheetId="8">'[1]lam-moi'!#REF!</definedName>
    <definedName name="TBI" localSheetId="8">#REF!</definedName>
    <definedName name="tbtr" localSheetId="8">#REF!</definedName>
    <definedName name="tbtram" localSheetId="8">#REF!</definedName>
    <definedName name="TC" localSheetId="8">#REF!</definedName>
    <definedName name="TC_NHANH1" localSheetId="8">#REF!</definedName>
    <definedName name="tcxxnc" localSheetId="8">'[1]thao-go'!#REF!</definedName>
    <definedName name="td" localSheetId="8">'[1]THPDMoi  (2)'!#REF!</definedName>
    <definedName name="td10vl" localSheetId="8">'[1]#REF'!#REF!</definedName>
    <definedName name="td12nc" localSheetId="8">'[1]#REF'!#REF!</definedName>
    <definedName name="td1p" localSheetId="8">[3]VC!#REF!</definedName>
    <definedName name="TD1pnc" localSheetId="8">'[1]CHITIET VL-NC-TT -1p'!#REF!</definedName>
    <definedName name="TD1pvl" localSheetId="8">'[1]CHITIET VL-NC-TT -1p'!#REF!</definedName>
    <definedName name="td3p" localSheetId="8">[3]VC!#REF!</definedName>
    <definedName name="tdc84nc" localSheetId="8">'[1]thao-go'!#REF!</definedName>
    <definedName name="tdcnc" localSheetId="8">'[1]thao-go'!#REF!</definedName>
    <definedName name="tdgnc" localSheetId="8">[10]CHITIET!#REF!</definedName>
    <definedName name="tdgvl" localSheetId="8">[10]CHITIET!#REF!</definedName>
    <definedName name="tdnc" localSheetId="8">#REF!</definedName>
    <definedName name="tdnc1p" localSheetId="8">#REF!</definedName>
    <definedName name="tdt1pnc" localSheetId="8">#REF!</definedName>
    <definedName name="tdt1pvl" localSheetId="8">#REF!</definedName>
    <definedName name="tdt2cnc" localSheetId="8">[10]CHITIET!#REF!</definedName>
    <definedName name="tdt2cvl" localSheetId="8">[10]CHITIET!#REF!</definedName>
    <definedName name="tdtr2cnc" localSheetId="8">#REF!</definedName>
    <definedName name="tdtr2cvl" localSheetId="8">#REF!</definedName>
    <definedName name="tdtrnc" localSheetId="8">[10]CHITIET!#REF!</definedName>
    <definedName name="tdtrvl" localSheetId="8">[10]CHITIET!#REF!</definedName>
    <definedName name="tdvl" localSheetId="8">#REF!</definedName>
    <definedName name="tdvl1p" localSheetId="8">#REF!</definedName>
    <definedName name="te" localSheetId="8">#REF!</definedName>
    <definedName name="tg" localSheetId="8">#REF!</definedName>
    <definedName name="th3x15" localSheetId="8">[1]giathanh1!#REF!</definedName>
    <definedName name="ThanhXuan110" localSheetId="8">'[13]KH-Q1,Q2,01'!#REF!</definedName>
    <definedName name="THGO1pnc" localSheetId="8">#REF!</definedName>
    <definedName name="thht" localSheetId="8">#REF!</definedName>
    <definedName name="THKP160" localSheetId="8">'[1]dongia (2)'!#REF!</definedName>
    <definedName name="thkp3" localSheetId="8">#REF!</definedName>
    <definedName name="thtr15" localSheetId="8">[1]giathanh1!#REF!</definedName>
    <definedName name="thtt" localSheetId="8">#REF!</definedName>
    <definedName name="THUE" localSheetId="8">#REF!</definedName>
    <definedName name="TIENLUONG" localSheetId="8">#REF!</definedName>
    <definedName name="TIENXUAT" localSheetId="8">#REF!</definedName>
    <definedName name="TKP" localSheetId="8">#REF!</definedName>
    <definedName name="tl" localSheetId="8">#REF!</definedName>
    <definedName name="TLAC120" localSheetId="8">#REF!</definedName>
    <definedName name="TLAC35" localSheetId="8">#REF!</definedName>
    <definedName name="TLAC50" localSheetId="8">#REF!</definedName>
    <definedName name="TLAC70" localSheetId="8">#REF!</definedName>
    <definedName name="TLAC95" localSheetId="8">#REF!</definedName>
    <definedName name="tn1pinnc" localSheetId="8">'[1]thao-go'!#REF!</definedName>
    <definedName name="tn2mhnnc" localSheetId="8">'[1]thao-go'!#REF!</definedName>
    <definedName name="TNCM" localSheetId="8">'[1]CHITIET VL-NC-TT-3p'!#REF!</definedName>
    <definedName name="tnhnnc" localSheetId="8">'[1]thao-go'!#REF!</definedName>
    <definedName name="tnignc" localSheetId="8">'[1]thao-go'!#REF!</definedName>
    <definedName name="tnin190nc" localSheetId="8">'[1]thao-go'!#REF!</definedName>
    <definedName name="tnlnc" localSheetId="8">'[1]thao-go'!#REF!</definedName>
    <definedName name="tnnnc" localSheetId="8">'[1]thao-go'!#REF!</definedName>
    <definedName name="tr" localSheetId="8">#REF!</definedName>
    <definedName name="TR15HT" localSheetId="8">'[1]TONGKE-HT'!#REF!</definedName>
    <definedName name="TR16HT" localSheetId="8">'[1]TONGKE-HT'!#REF!</definedName>
    <definedName name="TR19HT" localSheetId="8">'[1]TONGKE-HT'!#REF!</definedName>
    <definedName name="tr1x15" localSheetId="8">[1]giathanh1!#REF!</definedName>
    <definedName name="TR20HT" localSheetId="8">'[1]TONGKE-HT'!#REF!</definedName>
    <definedName name="tr3x100" localSheetId="8">'[1]dongia (2)'!#REF!</definedName>
    <definedName name="tram100" localSheetId="8">'[1]dongia (2)'!#REF!</definedName>
    <definedName name="tram1x25" localSheetId="8">'[1]dongia (2)'!#REF!</definedName>
    <definedName name="tru10mtc" localSheetId="8">'[1]t-h HA THE'!#REF!</definedName>
    <definedName name="tru8mtc" localSheetId="8">'[1]t-h HA THE'!#REF!</definedName>
    <definedName name="TT_1P" localSheetId="8">#REF!</definedName>
    <definedName name="TT_3p" localSheetId="8">#REF!</definedName>
    <definedName name="tt1pnc" localSheetId="8">[10]CHITIET!#REF!</definedName>
    <definedName name="tt1pvl" localSheetId="8">[10]CHITIET!#REF!</definedName>
    <definedName name="tt3pnc" localSheetId="8">[10]CHITIET!#REF!</definedName>
    <definedName name="tt3pvl" localSheetId="8">[10]CHITIET!#REF!</definedName>
    <definedName name="TTDDCT3p" localSheetId="8">[1]TDTKP1!#REF!</definedName>
    <definedName name="TTOAN" localSheetId="8">#REF!</definedName>
    <definedName name="ttronmk" localSheetId="8">#REF!</definedName>
    <definedName name="tu" localSheetId="8">#REF!</definedName>
    <definedName name="tv" localSheetId="8">#REF!</definedName>
    <definedName name="tv75nc" localSheetId="8">#REF!</definedName>
    <definedName name="tv75vl" localSheetId="8">#REF!</definedName>
    <definedName name="tx1pignc" localSheetId="8">'[1]thao-go'!#REF!</definedName>
    <definedName name="tx1pindnc" localSheetId="8">'[1]thao-go'!#REF!</definedName>
    <definedName name="tx1pingnc" localSheetId="8">'[1]thao-go'!#REF!</definedName>
    <definedName name="tx1pintnc" localSheetId="8">'[1]thao-go'!#REF!</definedName>
    <definedName name="tx1pitnc" localSheetId="8">'[1]thao-go'!#REF!</definedName>
    <definedName name="tx2mhnnc" localSheetId="8">'[1]thao-go'!#REF!</definedName>
    <definedName name="tx2mitnc" localSheetId="8">'[1]thao-go'!#REF!</definedName>
    <definedName name="txhnnc" localSheetId="8">'[1]thao-go'!#REF!</definedName>
    <definedName name="txig1nc" localSheetId="8">'[1]thao-go'!#REF!</definedName>
    <definedName name="txin190nc" localSheetId="8">'[1]thao-go'!#REF!</definedName>
    <definedName name="txinnc" localSheetId="8">'[1]thao-go'!#REF!</definedName>
    <definedName name="txit1nc" localSheetId="8">'[1]thao-go'!#REF!</definedName>
    <definedName name="v" localSheetId="8">#REF!</definedName>
    <definedName name="VAT" localSheetId="8">#REF!</definedName>
    <definedName name="VCDD3p" localSheetId="8">'[1]KPVC-BD '!#REF!</definedName>
    <definedName name="VCHT" localSheetId="8">[3]VC!#REF!</definedName>
    <definedName name="VCTT" localSheetId="8">#REF!</definedName>
    <definedName name="vd3p" localSheetId="8">#REF!</definedName>
    <definedName name="vl1p" localSheetId="8">#REF!</definedName>
    <definedName name="vl3p" localSheetId="8">#REF!</definedName>
    <definedName name="vldd" localSheetId="8">#REF!</definedName>
    <definedName name="vldn400" localSheetId="8">#REF!</definedName>
    <definedName name="vldn600" localSheetId="8">#REF!</definedName>
    <definedName name="VLIEU" localSheetId="8">#REF!</definedName>
    <definedName name="vltr" localSheetId="8">#REF!</definedName>
    <definedName name="vltram" localSheetId="8">#REF!</definedName>
    <definedName name="vr3p" localSheetId="8">#REF!</definedName>
    <definedName name="vs" localSheetId="8">#REF!</definedName>
    <definedName name="VT" localSheetId="8">#REF!</definedName>
    <definedName name="vt1pbs" localSheetId="8">'[1]lam-moi'!#REF!</definedName>
    <definedName name="vtbs" localSheetId="8">'[1]lam-moi'!#REF!</definedName>
    <definedName name="vtp" localSheetId="8">#REF!</definedName>
    <definedName name="W" localSheetId="8">#REF!</definedName>
    <definedName name="wrn.chi._.tiÆt." localSheetId="3" hidden="1">{#N/A,#N/A,FALSE,"Chi tiÆt"}</definedName>
    <definedName name="wrn.chi._.tiÆt." localSheetId="2" hidden="1">{#N/A,#N/A,FALSE,"Chi tiÆt"}</definedName>
    <definedName name="wrn.chi._.tiÆt." hidden="1">{#N/A,#N/A,FALSE,"Chi tiÆt"}</definedName>
    <definedName name="x" localSheetId="8">#REF!</definedName>
    <definedName name="x17dnc" localSheetId="8">[3]chitiet!#REF!</definedName>
    <definedName name="x17dvl" localSheetId="8">[3]chitiet!#REF!</definedName>
    <definedName name="x17knc" localSheetId="8">[3]chitiet!#REF!</definedName>
    <definedName name="x17kvl" localSheetId="8">[3]chitiet!#REF!</definedName>
    <definedName name="X1pFCOnc" localSheetId="8">'[1]CHITIET VL-NC-TT -1p'!#REF!</definedName>
    <definedName name="X1pFCOvc" localSheetId="8">'[1]CHITIET VL-NC-TT -1p'!#REF!</definedName>
    <definedName name="X1pFCOvl" localSheetId="8">'[1]CHITIET VL-NC-TT -1p'!#REF!</definedName>
    <definedName name="x1pignc" localSheetId="8">'[1]lam-moi'!#REF!</definedName>
    <definedName name="X1pIGvc" localSheetId="8">'[1]CHITIET VL-NC-TT -1p'!#REF!</definedName>
    <definedName name="x1pigvl" localSheetId="8">'[1]lam-moi'!#REF!</definedName>
    <definedName name="x1pind" localSheetId="8">[3]VC!#REF!</definedName>
    <definedName name="x1pindnc" localSheetId="8">[5]CHITIET!#REF!</definedName>
    <definedName name="x1pindvl" localSheetId="8">[5]CHITIET!#REF!</definedName>
    <definedName name="x1ping" localSheetId="8">[3]VC!#REF!</definedName>
    <definedName name="x1pingnc" localSheetId="8">#REF!</definedName>
    <definedName name="x1pingvl" localSheetId="8">#REF!</definedName>
    <definedName name="x1pint" localSheetId="8">[3]VC!#REF!</definedName>
    <definedName name="x1pintnc" localSheetId="8">'[1]lam-moi'!#REF!</definedName>
    <definedName name="X1pINTvc" localSheetId="8">'[1]CHITIET VL-NC-TT -1p'!#REF!</definedName>
    <definedName name="x1pintvl" localSheetId="8">'[1]lam-moi'!#REF!</definedName>
    <definedName name="x1pitnc" localSheetId="8">'[1]lam-moi'!#REF!</definedName>
    <definedName name="X1pITvc" localSheetId="8">'[1]CHITIET VL-NC-TT -1p'!#REF!</definedName>
    <definedName name="x1pitvl" localSheetId="8">'[1]lam-moi'!#REF!</definedName>
    <definedName name="x20knc" localSheetId="8">[3]chitiet!#REF!</definedName>
    <definedName name="x20kvl" localSheetId="8">[3]chitiet!#REF!</definedName>
    <definedName name="x22knc" localSheetId="8">[3]chitiet!#REF!</definedName>
    <definedName name="x22kvl" localSheetId="8">[3]chitiet!#REF!</definedName>
    <definedName name="x2mig1nc" localSheetId="8">'[1]lam-moi'!#REF!</definedName>
    <definedName name="x2mig1vl" localSheetId="8">'[1]lam-moi'!#REF!</definedName>
    <definedName name="x2min1nc" localSheetId="8">'[1]lam-moi'!#REF!</definedName>
    <definedName name="x2min1vl" localSheetId="8">'[1]lam-moi'!#REF!</definedName>
    <definedName name="x2mit1vl" localSheetId="8">'[1]lam-moi'!#REF!</definedName>
    <definedName name="x2mitnc" localSheetId="8">'[1]lam-moi'!#REF!</definedName>
    <definedName name="xdsnc" localSheetId="8">#REF!</definedName>
    <definedName name="xdsvl" localSheetId="8">#REF!</definedName>
    <definedName name="xfco" localSheetId="8">[3]VC!#REF!</definedName>
    <definedName name="xfco3p" localSheetId="8">#REF!</definedName>
    <definedName name="xfcotnc" localSheetId="8">#REF!</definedName>
    <definedName name="xfcotvl" localSheetId="8">#REF!</definedName>
    <definedName name="xfnc" localSheetId="8">'[1]lam-moi'!#REF!</definedName>
    <definedName name="xfvl" localSheetId="8">'[1]lam-moi'!#REF!</definedName>
    <definedName name="xhn" localSheetId="8">[3]VC!#REF!</definedName>
    <definedName name="xhnnc" localSheetId="8">[5]CHITIET!#REF!</definedName>
    <definedName name="xhnvl" localSheetId="8">[5]CHITIET!#REF!</definedName>
    <definedName name="xig" localSheetId="8">[3]VC!#REF!</definedName>
    <definedName name="xig1" localSheetId="8">[3]VC!#REF!</definedName>
    <definedName name="xig1nc" localSheetId="8">[5]CHITIET!#REF!</definedName>
    <definedName name="xig1p" localSheetId="8">#REF!</definedName>
    <definedName name="xig1vl" localSheetId="8">[5]CHITIET!#REF!</definedName>
    <definedName name="xig2nc" localSheetId="8">'[1]lam-moi'!#REF!</definedName>
    <definedName name="xig2vl" localSheetId="8">'[1]lam-moi'!#REF!</definedName>
    <definedName name="xig3p" localSheetId="8">#REF!</definedName>
    <definedName name="xignc3p" localSheetId="8">#REF!</definedName>
    <definedName name="xigvl3p" localSheetId="8">#REF!</definedName>
    <definedName name="xin" localSheetId="8">[3]VC!#REF!</definedName>
    <definedName name="xin190" localSheetId="8">[3]VC!#REF!</definedName>
    <definedName name="xin1903p" localSheetId="8">#REF!</definedName>
    <definedName name="xin2903p" localSheetId="8">#REF!</definedName>
    <definedName name="xin290nc3p" localSheetId="8">#REF!</definedName>
    <definedName name="xin290vl3p" localSheetId="8">#REF!</definedName>
    <definedName name="xin3p" localSheetId="8">#REF!</definedName>
    <definedName name="xind" localSheetId="8">[3]VC!#REF!</definedName>
    <definedName name="xind1p" localSheetId="8">#REF!</definedName>
    <definedName name="xind3p" localSheetId="8">#REF!</definedName>
    <definedName name="xindnc1p" localSheetId="8">#REF!</definedName>
    <definedName name="xindvl1p" localSheetId="8">#REF!</definedName>
    <definedName name="xing1p" localSheetId="8">#REF!</definedName>
    <definedName name="xingnc1p" localSheetId="8">#REF!</definedName>
    <definedName name="xingvl1p" localSheetId="8">#REF!</definedName>
    <definedName name="xinnc3p" localSheetId="8">#REF!</definedName>
    <definedName name="xint1p" localSheetId="8">#REF!</definedName>
    <definedName name="xinvl3p" localSheetId="8">#REF!</definedName>
    <definedName name="xit" localSheetId="8">[3]VC!#REF!</definedName>
    <definedName name="xit1" localSheetId="8">[3]VC!#REF!</definedName>
    <definedName name="xit1nc" localSheetId="8">[5]CHITIET!#REF!</definedName>
    <definedName name="xit1p" localSheetId="8">#REF!</definedName>
    <definedName name="xit1vl" localSheetId="8">[5]CHITIET!#REF!</definedName>
    <definedName name="xit2nc" localSheetId="8">'[1]lam-moi'!#REF!</definedName>
    <definedName name="xit2nc3p" localSheetId="8">#REF!</definedName>
    <definedName name="xit2vl" localSheetId="8">'[1]lam-moi'!#REF!</definedName>
    <definedName name="xit2vl3p" localSheetId="8">#REF!</definedName>
    <definedName name="xit3p" localSheetId="8">#REF!</definedName>
    <definedName name="xitnc3p" localSheetId="8">#REF!</definedName>
    <definedName name="xitvl3p" localSheetId="8">#REF!</definedName>
    <definedName name="xr1nc" localSheetId="8">[5]CHITIET!#REF!</definedName>
    <definedName name="xr1vl" localSheetId="8">[5]CHITIET!#REF!</definedName>
    <definedName name="xtr3pnc" localSheetId="8">#REF!</definedName>
    <definedName name="xtr3pvl" localSheetId="8">#REF!</definedName>
    <definedName name="전" localSheetId="8">#REF!</definedName>
    <definedName name="주택사업본부" localSheetId="8">#REF!</definedName>
    <definedName name="철구사업본부" localSheetId="8">#REF!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4" i="29" l="1"/>
  <c r="G40" i="29"/>
  <c r="G41" i="29"/>
  <c r="G34" i="29"/>
  <c r="G35" i="29"/>
  <c r="G36" i="29"/>
  <c r="G37" i="29"/>
  <c r="G38" i="29"/>
  <c r="F34" i="29"/>
  <c r="G29" i="29"/>
  <c r="G30" i="29"/>
  <c r="G27" i="29"/>
  <c r="G26" i="29"/>
  <c r="G20" i="29"/>
  <c r="G21" i="29"/>
  <c r="G22" i="29"/>
  <c r="G23" i="29"/>
  <c r="G24" i="29"/>
  <c r="G19" i="29"/>
  <c r="G7" i="29"/>
  <c r="G8" i="29"/>
  <c r="G9" i="29"/>
  <c r="G10" i="29"/>
  <c r="G11" i="29"/>
  <c r="G12" i="29"/>
  <c r="G13" i="29"/>
  <c r="G17" i="29"/>
  <c r="G6" i="29"/>
  <c r="E40" i="29" l="1"/>
  <c r="N43" i="30"/>
  <c r="K3" i="30" l="1"/>
  <c r="AD33" i="30" l="1"/>
  <c r="AC30" i="30"/>
  <c r="AC32" i="30" s="1"/>
  <c r="AC27" i="30"/>
  <c r="AC24" i="30"/>
  <c r="AD19" i="30"/>
  <c r="AC19" i="30"/>
  <c r="AC21" i="30"/>
  <c r="AC17" i="30"/>
  <c r="H32" i="30"/>
  <c r="H19" i="30"/>
  <c r="J12" i="30"/>
  <c r="K12" i="30"/>
  <c r="E44" i="29" l="1"/>
  <c r="B7" i="29"/>
  <c r="B12" i="30"/>
  <c r="R5" i="30" s="1"/>
  <c r="E21" i="29" s="1"/>
  <c r="C12" i="30"/>
  <c r="R4" i="30" s="1"/>
  <c r="E27" i="29" s="1"/>
  <c r="D12" i="30"/>
  <c r="R6" i="30" s="1"/>
  <c r="E29" i="29" s="1"/>
  <c r="E12" i="30"/>
  <c r="O5" i="30" s="1"/>
  <c r="E10" i="29" s="1"/>
  <c r="F12" i="30"/>
  <c r="O6" i="30" s="1"/>
  <c r="E11" i="29" s="1"/>
  <c r="G12" i="30"/>
  <c r="R3" i="30" s="1"/>
  <c r="E22" i="29" s="1"/>
  <c r="O2" i="30"/>
  <c r="U3" i="30" s="1"/>
  <c r="V3" i="30" s="1"/>
  <c r="E35" i="29" l="1"/>
  <c r="E37" i="29" s="1"/>
  <c r="E38" i="29"/>
  <c r="E36" i="29"/>
  <c r="I12" i="30"/>
  <c r="O3" i="30" s="1"/>
  <c r="O4" i="30"/>
  <c r="E6" i="29" s="1"/>
  <c r="L19" i="30"/>
  <c r="L20" i="30" s="1"/>
  <c r="L21" i="30" s="1"/>
  <c r="L22" i="30" s="1"/>
  <c r="L23" i="30" s="1"/>
  <c r="L24" i="30" s="1"/>
  <c r="L25" i="30" s="1"/>
  <c r="L27" i="30" s="1"/>
  <c r="L28" i="30" s="1"/>
  <c r="L29" i="30" s="1"/>
  <c r="L30" i="30" s="1"/>
  <c r="L31" i="30" s="1"/>
  <c r="L32" i="30" s="1"/>
  <c r="L33" i="30" s="1"/>
  <c r="L34" i="30" s="1"/>
  <c r="L35" i="30" s="1"/>
  <c r="L36" i="30" s="1"/>
  <c r="L37" i="30" s="1"/>
  <c r="L38" i="30" s="1"/>
  <c r="B32" i="29"/>
  <c r="E32" i="29" s="1"/>
  <c r="B27" i="29"/>
  <c r="B26" i="29"/>
  <c r="B20" i="29"/>
  <c r="B19" i="29"/>
  <c r="B14" i="29"/>
  <c r="E14" i="29" s="1"/>
  <c r="G14" i="29" s="1"/>
  <c r="B12" i="29"/>
  <c r="D12" i="29" s="1"/>
  <c r="B11" i="29"/>
  <c r="B10" i="29"/>
  <c r="D10" i="29" s="1"/>
  <c r="D7" i="29"/>
  <c r="B6" i="29"/>
  <c r="D6" i="29" l="1"/>
  <c r="A7" i="29"/>
  <c r="A15" i="29"/>
  <c r="A16" i="29"/>
  <c r="A8" i="29"/>
  <c r="A9" i="29"/>
  <c r="A17" i="29"/>
  <c r="A10" i="29"/>
  <c r="A11" i="29"/>
  <c r="A12" i="29"/>
  <c r="A13" i="29"/>
  <c r="A14" i="29"/>
  <c r="L9" i="30"/>
  <c r="A6" i="29"/>
  <c r="D14" i="29"/>
  <c r="D11" i="29"/>
  <c r="D32" i="29"/>
  <c r="F41" i="27" l="1"/>
  <c r="D38" i="27"/>
  <c r="D37" i="27"/>
  <c r="D36" i="27" s="1"/>
  <c r="D5" i="27"/>
  <c r="D17" i="27"/>
  <c r="I12" i="27" l="1"/>
  <c r="I5" i="27"/>
  <c r="C16" i="23" l="1"/>
  <c r="G16" i="23"/>
  <c r="B9" i="23"/>
  <c r="H34" i="28"/>
  <c r="H33" i="28" s="1"/>
  <c r="H32" i="28"/>
  <c r="H27" i="28"/>
  <c r="H26" i="28"/>
  <c r="H25" i="28"/>
  <c r="H24" i="28"/>
  <c r="H23" i="28"/>
  <c r="H22" i="28"/>
  <c r="H21" i="28"/>
  <c r="H20" i="28"/>
  <c r="H16" i="28"/>
  <c r="C16" i="28"/>
  <c r="H15" i="28"/>
  <c r="C15" i="28"/>
  <c r="H14" i="28"/>
  <c r="C14" i="28"/>
  <c r="C13" i="28"/>
  <c r="C12" i="28"/>
  <c r="C11" i="28"/>
  <c r="C10" i="28"/>
  <c r="H3" i="28"/>
  <c r="H4" i="28" s="1"/>
  <c r="P30" i="24" l="1"/>
  <c r="P39" i="24"/>
  <c r="P17" i="24"/>
  <c r="E38" i="28"/>
  <c r="F43" i="27" l="1"/>
  <c r="F42" i="27"/>
  <c r="F40" i="27"/>
  <c r="F39" i="27"/>
  <c r="F38" i="27"/>
  <c r="F37" i="27"/>
  <c r="AB36" i="27"/>
  <c r="AA36" i="27"/>
  <c r="Y36" i="27"/>
  <c r="U36" i="27"/>
  <c r="M36" i="27"/>
  <c r="I35" i="27"/>
  <c r="J35" i="27" s="1"/>
  <c r="F35" i="27"/>
  <c r="Y34" i="27"/>
  <c r="S34" i="27"/>
  <c r="R34" i="27"/>
  <c r="AA34" i="27" s="1"/>
  <c r="I34" i="27"/>
  <c r="T34" i="27" s="1"/>
  <c r="F34" i="27"/>
  <c r="Y33" i="27"/>
  <c r="R33" i="27"/>
  <c r="AA33" i="27" s="1"/>
  <c r="E33" i="27"/>
  <c r="S33" i="27" s="1"/>
  <c r="AB32" i="27"/>
  <c r="S32" i="27"/>
  <c r="R32" i="27"/>
  <c r="AA32" i="27" s="1"/>
  <c r="P32" i="27"/>
  <c r="I32" i="27"/>
  <c r="F32" i="27"/>
  <c r="AB31" i="27"/>
  <c r="S31" i="27"/>
  <c r="R31" i="27"/>
  <c r="AA31" i="27" s="1"/>
  <c r="I31" i="27"/>
  <c r="T31" i="27" s="1"/>
  <c r="F31" i="27"/>
  <c r="R29" i="27"/>
  <c r="AA29" i="27" s="1"/>
  <c r="F29" i="27"/>
  <c r="I29" i="27"/>
  <c r="J29" i="27" s="1"/>
  <c r="R28" i="27"/>
  <c r="AA28" i="27" s="1"/>
  <c r="I28" i="27"/>
  <c r="J28" i="27" s="1"/>
  <c r="AB27" i="27"/>
  <c r="R27" i="27"/>
  <c r="AA27" i="27" s="1"/>
  <c r="Y26" i="27"/>
  <c r="V26" i="27"/>
  <c r="AB26" i="27" s="1"/>
  <c r="R26" i="27"/>
  <c r="AA26" i="27" s="1"/>
  <c r="N26" i="27"/>
  <c r="Y25" i="27"/>
  <c r="S25" i="27"/>
  <c r="R25" i="27"/>
  <c r="AA25" i="27" s="1"/>
  <c r="I25" i="27"/>
  <c r="T25" i="27" s="1"/>
  <c r="F25" i="27"/>
  <c r="AB24" i="27"/>
  <c r="AA24" i="27"/>
  <c r="S24" i="27"/>
  <c r="R24" i="27"/>
  <c r="M24" i="27"/>
  <c r="I24" i="27"/>
  <c r="F24" i="27"/>
  <c r="R22" i="27"/>
  <c r="AA22" i="27" s="1"/>
  <c r="I22" i="27"/>
  <c r="J22" i="27" s="1"/>
  <c r="F22" i="27"/>
  <c r="S21" i="27"/>
  <c r="R21" i="27"/>
  <c r="AA21" i="27" s="1"/>
  <c r="I21" i="27"/>
  <c r="M21" i="27" s="1"/>
  <c r="F21" i="27"/>
  <c r="AB20" i="27"/>
  <c r="S20" i="27"/>
  <c r="R20" i="27"/>
  <c r="AA20" i="27" s="1"/>
  <c r="O20" i="27"/>
  <c r="P20" i="27" s="1"/>
  <c r="I20" i="27"/>
  <c r="T20" i="27" s="1"/>
  <c r="F20" i="27"/>
  <c r="AB19" i="27"/>
  <c r="S19" i="27"/>
  <c r="R19" i="27"/>
  <c r="AA19" i="27" s="1"/>
  <c r="O19" i="27"/>
  <c r="P19" i="27" s="1"/>
  <c r="I19" i="27"/>
  <c r="T19" i="27" s="1"/>
  <c r="F19" i="27"/>
  <c r="Y18" i="27"/>
  <c r="S18" i="27"/>
  <c r="R18" i="27"/>
  <c r="AA18" i="27" s="1"/>
  <c r="O18" i="27"/>
  <c r="P18" i="27" s="1"/>
  <c r="I18" i="27"/>
  <c r="T18" i="27" s="1"/>
  <c r="F18" i="27"/>
  <c r="AB17" i="27"/>
  <c r="S17" i="27"/>
  <c r="R17" i="27"/>
  <c r="AA17" i="27" s="1"/>
  <c r="I17" i="27"/>
  <c r="F17" i="27"/>
  <c r="AB16" i="27"/>
  <c r="S16" i="27"/>
  <c r="R16" i="27"/>
  <c r="AA16" i="27" s="1"/>
  <c r="P16" i="27"/>
  <c r="I16" i="27"/>
  <c r="T16" i="27" s="1"/>
  <c r="Y16" i="27" s="1"/>
  <c r="F16" i="27"/>
  <c r="AA14" i="27"/>
  <c r="Y14" i="27"/>
  <c r="S14" i="27"/>
  <c r="R14" i="27"/>
  <c r="M14" i="27"/>
  <c r="O14" i="27" s="1"/>
  <c r="P14" i="27" s="1"/>
  <c r="I14" i="27"/>
  <c r="J14" i="27" s="1"/>
  <c r="K14" i="27" s="1"/>
  <c r="F14" i="27"/>
  <c r="B14" i="27"/>
  <c r="AA13" i="27"/>
  <c r="Y13" i="27"/>
  <c r="S13" i="27"/>
  <c r="R13" i="27"/>
  <c r="P13" i="27"/>
  <c r="I13" i="27"/>
  <c r="F13" i="27"/>
  <c r="B13" i="27"/>
  <c r="AB12" i="27"/>
  <c r="S12" i="27"/>
  <c r="R12" i="27"/>
  <c r="AA12" i="27" s="1"/>
  <c r="J12" i="27"/>
  <c r="F12" i="27"/>
  <c r="A12" i="27"/>
  <c r="AB11" i="27"/>
  <c r="S11" i="27"/>
  <c r="R11" i="27"/>
  <c r="AA11" i="27" s="1"/>
  <c r="O11" i="27"/>
  <c r="P11" i="27" s="1"/>
  <c r="I11" i="27"/>
  <c r="T11" i="27" s="1"/>
  <c r="F11" i="27"/>
  <c r="A11" i="27"/>
  <c r="AB10" i="27"/>
  <c r="S10" i="27"/>
  <c r="R10" i="27"/>
  <c r="AA10" i="27" s="1"/>
  <c r="O10" i="27"/>
  <c r="P10" i="27" s="1"/>
  <c r="I10" i="27" s="1"/>
  <c r="J10" i="27" s="1"/>
  <c r="F10" i="27"/>
  <c r="A10" i="27"/>
  <c r="AB9" i="27"/>
  <c r="S9" i="27"/>
  <c r="R9" i="27"/>
  <c r="AA9" i="27" s="1"/>
  <c r="M9" i="27"/>
  <c r="O9" i="27" s="1"/>
  <c r="P9" i="27" s="1"/>
  <c r="I9" i="27" s="1"/>
  <c r="F9" i="27"/>
  <c r="A9" i="27"/>
  <c r="Y8" i="27"/>
  <c r="R8" i="27"/>
  <c r="AA8" i="27" s="1"/>
  <c r="O8" i="27"/>
  <c r="P8" i="27" s="1"/>
  <c r="I8" i="27"/>
  <c r="F8" i="27"/>
  <c r="A8" i="27"/>
  <c r="AB7" i="27"/>
  <c r="R7" i="27"/>
  <c r="AA7" i="27" s="1"/>
  <c r="M7" i="27"/>
  <c r="O7" i="27" s="1"/>
  <c r="S7" i="27"/>
  <c r="A7" i="27"/>
  <c r="M6" i="27"/>
  <c r="O6" i="27" s="1"/>
  <c r="P6" i="27" s="1"/>
  <c r="I6" i="27" s="1"/>
  <c r="J6" i="27" s="1"/>
  <c r="F6" i="27"/>
  <c r="A6" i="27"/>
  <c r="AB5" i="27"/>
  <c r="S5" i="27"/>
  <c r="R5" i="27"/>
  <c r="AA5" i="27" s="1"/>
  <c r="M5" i="27"/>
  <c r="Q5" i="27" s="1"/>
  <c r="F5" i="27"/>
  <c r="A5" i="27"/>
  <c r="T2" i="27"/>
  <c r="F23" i="27" l="1"/>
  <c r="A13" i="27"/>
  <c r="K22" i="27"/>
  <c r="T13" i="27"/>
  <c r="U13" i="27" s="1"/>
  <c r="F17" i="21"/>
  <c r="K29" i="27"/>
  <c r="K35" i="27"/>
  <c r="K6" i="27"/>
  <c r="J13" i="27"/>
  <c r="K13" i="27" s="1"/>
  <c r="K12" i="27"/>
  <c r="J25" i="27"/>
  <c r="K25" i="27" s="1"/>
  <c r="J16" i="27"/>
  <c r="K16" i="27" s="1"/>
  <c r="K10" i="27"/>
  <c r="U18" i="27"/>
  <c r="F33" i="27"/>
  <c r="F30" i="27" s="1"/>
  <c r="F15" i="27"/>
  <c r="I33" i="27"/>
  <c r="T33" i="27" s="1"/>
  <c r="AC10" i="27"/>
  <c r="AC11" i="27"/>
  <c r="AC20" i="27"/>
  <c r="AC16" i="27"/>
  <c r="AC27" i="27"/>
  <c r="AC17" i="27"/>
  <c r="AC7" i="27"/>
  <c r="AC24" i="27"/>
  <c r="AC31" i="27"/>
  <c r="AC12" i="27"/>
  <c r="AC26" i="27"/>
  <c r="V34" i="27"/>
  <c r="AB34" i="27" s="1"/>
  <c r="AC34" i="27" s="1"/>
  <c r="U34" i="27"/>
  <c r="AC5" i="27"/>
  <c r="A14" i="27"/>
  <c r="AC19" i="27"/>
  <c r="J21" i="27"/>
  <c r="K21" i="27" s="1"/>
  <c r="U26" i="27"/>
  <c r="F28" i="27"/>
  <c r="K28" i="27" s="1"/>
  <c r="J34" i="27"/>
  <c r="K34" i="27" s="1"/>
  <c r="T12" i="27"/>
  <c r="Y12" i="27" s="1"/>
  <c r="AC32" i="27"/>
  <c r="F36" i="27"/>
  <c r="E36" i="27" s="1"/>
  <c r="I36" i="27" s="1"/>
  <c r="J36" i="27" s="1"/>
  <c r="H7" i="25" s="1"/>
  <c r="P7" i="27"/>
  <c r="I7" i="27" s="1"/>
  <c r="U16" i="27"/>
  <c r="AC36" i="27"/>
  <c r="J9" i="27"/>
  <c r="K9" i="27" s="1"/>
  <c r="T9" i="27"/>
  <c r="Y11" i="27"/>
  <c r="U11" i="27"/>
  <c r="Y31" i="27"/>
  <c r="J32" i="27"/>
  <c r="K32" i="27" s="1"/>
  <c r="T32" i="27"/>
  <c r="J8" i="27"/>
  <c r="K8" i="27" s="1"/>
  <c r="T8" i="27"/>
  <c r="AC9" i="27"/>
  <c r="T17" i="27"/>
  <c r="J17" i="27"/>
  <c r="Y19" i="27"/>
  <c r="U19" i="27"/>
  <c r="U31" i="27"/>
  <c r="T14" i="27"/>
  <c r="Y20" i="27"/>
  <c r="U20" i="27"/>
  <c r="T10" i="27"/>
  <c r="J24" i="27"/>
  <c r="T24" i="27"/>
  <c r="U25" i="27"/>
  <c r="V25" i="27"/>
  <c r="AB25" i="27" s="1"/>
  <c r="AC25" i="27" s="1"/>
  <c r="F27" i="27"/>
  <c r="S27" i="27"/>
  <c r="I27" i="27"/>
  <c r="C56" i="27"/>
  <c r="S8" i="27"/>
  <c r="O5" i="27"/>
  <c r="P5" i="27" s="1"/>
  <c r="F7" i="27"/>
  <c r="F4" i="27" s="1"/>
  <c r="J11" i="27"/>
  <c r="K11" i="27" s="1"/>
  <c r="J18" i="27"/>
  <c r="K18" i="27" s="1"/>
  <c r="J19" i="27"/>
  <c r="K19" i="27" s="1"/>
  <c r="J20" i="27"/>
  <c r="K20" i="27" s="1"/>
  <c r="J31" i="27"/>
  <c r="E7" i="25" l="1"/>
  <c r="E73" i="25"/>
  <c r="J33" i="27"/>
  <c r="K36" i="27"/>
  <c r="F39" i="21"/>
  <c r="F44" i="27"/>
  <c r="K33" i="27"/>
  <c r="U12" i="27"/>
  <c r="W34" i="27"/>
  <c r="W25" i="27"/>
  <c r="F26" i="27"/>
  <c r="U32" i="27"/>
  <c r="Y32" i="27"/>
  <c r="J30" i="27"/>
  <c r="F37" i="21" s="1"/>
  <c r="K31" i="27"/>
  <c r="K30" i="27" s="1"/>
  <c r="H30" i="27" s="1"/>
  <c r="T7" i="27"/>
  <c r="J7" i="27"/>
  <c r="K7" i="27" s="1"/>
  <c r="U24" i="27"/>
  <c r="Y24" i="27"/>
  <c r="U14" i="27"/>
  <c r="V14" i="27"/>
  <c r="AB14" i="27" s="1"/>
  <c r="AC14" i="27" s="1"/>
  <c r="K17" i="27"/>
  <c r="K15" i="27" s="1"/>
  <c r="H15" i="27" s="1"/>
  <c r="J15" i="27"/>
  <c r="V8" i="27"/>
  <c r="AB8" i="27" s="1"/>
  <c r="AC8" i="27" s="1"/>
  <c r="U8" i="27"/>
  <c r="T27" i="27"/>
  <c r="J27" i="27"/>
  <c r="U10" i="27"/>
  <c r="Y10" i="27"/>
  <c r="T5" i="27"/>
  <c r="J5" i="27"/>
  <c r="C65" i="27"/>
  <c r="J23" i="27"/>
  <c r="K24" i="27"/>
  <c r="K23" i="27" s="1"/>
  <c r="H23" i="27" s="1"/>
  <c r="U33" i="27"/>
  <c r="Y17" i="27"/>
  <c r="V17" i="27"/>
  <c r="W17" i="27" s="1"/>
  <c r="U17" i="27"/>
  <c r="U9" i="27"/>
  <c r="Y9" i="27"/>
  <c r="C54" i="27" l="1"/>
  <c r="D7" i="25" s="1"/>
  <c r="F7" i="25" s="1"/>
  <c r="F8" i="25" s="1"/>
  <c r="W8" i="27"/>
  <c r="K5" i="27"/>
  <c r="K4" i="27" s="1"/>
  <c r="J4" i="27"/>
  <c r="J26" i="27"/>
  <c r="K27" i="27"/>
  <c r="K26" i="27" s="1"/>
  <c r="H26" i="27" s="1"/>
  <c r="W14" i="27"/>
  <c r="Y7" i="27"/>
  <c r="U7" i="27"/>
  <c r="F45" i="27"/>
  <c r="F46" i="27" s="1"/>
  <c r="U5" i="27"/>
  <c r="Y5" i="27"/>
  <c r="Y27" i="27"/>
  <c r="U27" i="27"/>
  <c r="C64" i="27" l="1"/>
  <c r="J44" i="27"/>
  <c r="K44" i="27"/>
  <c r="H44" i="27" s="1"/>
  <c r="H4" i="27"/>
  <c r="U44" i="27"/>
  <c r="C52" i="27" l="1"/>
  <c r="C60" i="27" s="1"/>
  <c r="N7" i="25" s="1"/>
  <c r="O7" i="25" s="1"/>
  <c r="O8" i="25" s="1"/>
  <c r="G7" i="25"/>
  <c r="I7" i="25" s="1"/>
  <c r="I8" i="25" s="1"/>
  <c r="J45" i="27"/>
  <c r="J46" i="27" s="1"/>
  <c r="E61" i="27" l="1"/>
  <c r="E54" i="27"/>
  <c r="E56" i="27"/>
  <c r="E49" i="27"/>
  <c r="C66" i="27" s="1"/>
  <c r="C63" i="27" s="1"/>
  <c r="C53" i="27"/>
  <c r="E63" i="27"/>
  <c r="E60" i="27"/>
  <c r="C59" i="27"/>
  <c r="F63" i="27" l="1"/>
  <c r="E59" i="27"/>
  <c r="F59" i="27"/>
  <c r="F61" i="27"/>
  <c r="E53" i="27"/>
  <c r="F53" i="27"/>
  <c r="F56" i="27"/>
  <c r="F54" i="27"/>
  <c r="C68" i="27"/>
  <c r="C69" i="27" s="1"/>
  <c r="F60" i="27"/>
  <c r="E69" i="27" l="1"/>
  <c r="F69" i="27"/>
  <c r="E68" i="27"/>
  <c r="F68" i="27"/>
  <c r="C70" i="27" l="1"/>
  <c r="C71" i="27" s="1"/>
  <c r="P7" i="25" l="1"/>
  <c r="E74" i="25"/>
  <c r="F71" i="27"/>
  <c r="T1" i="27"/>
  <c r="E71" i="27"/>
  <c r="R7" i="25" l="1"/>
  <c r="R8" i="25" s="1"/>
  <c r="Q7" i="25"/>
  <c r="Q8" i="25" s="1"/>
  <c r="P8" i="25"/>
  <c r="U2" i="27"/>
  <c r="V13" i="27" l="1"/>
  <c r="V18" i="27"/>
  <c r="V16" i="27"/>
  <c r="W16" i="27" s="1"/>
  <c r="V11" i="27"/>
  <c r="W11" i="27" s="1"/>
  <c r="V12" i="27"/>
  <c r="W12" i="27" s="1"/>
  <c r="V31" i="27"/>
  <c r="W31" i="27" s="1"/>
  <c r="V19" i="27"/>
  <c r="W19" i="27" s="1"/>
  <c r="V20" i="27"/>
  <c r="W20" i="27" s="1"/>
  <c r="V10" i="27"/>
  <c r="W10" i="27" s="1"/>
  <c r="V24" i="27"/>
  <c r="W24" i="27" s="1"/>
  <c r="V9" i="27"/>
  <c r="W9" i="27" s="1"/>
  <c r="V32" i="27"/>
  <c r="W32" i="27" s="1"/>
  <c r="V33" i="27"/>
  <c r="V7" i="27"/>
  <c r="W7" i="27" s="1"/>
  <c r="V27" i="27"/>
  <c r="W27" i="27" s="1"/>
  <c r="V5" i="27"/>
  <c r="W5" i="27" s="1"/>
  <c r="AB18" i="27" l="1"/>
  <c r="AC18" i="27" s="1"/>
  <c r="W18" i="27"/>
  <c r="AB33" i="27"/>
  <c r="AC33" i="27" s="1"/>
  <c r="W33" i="27"/>
  <c r="AB13" i="27"/>
  <c r="AC13" i="27" s="1"/>
  <c r="AC44" i="27" s="1"/>
  <c r="Y1" i="27" s="1"/>
  <c r="Y2" i="27" s="1"/>
  <c r="W13" i="27"/>
  <c r="N38" i="24" l="1"/>
  <c r="N36" i="24"/>
  <c r="N32" i="24"/>
  <c r="N29" i="24"/>
  <c r="N21" i="24"/>
  <c r="L30" i="24" l="1"/>
  <c r="L39" i="24" l="1"/>
  <c r="L17" i="24"/>
  <c r="K14" i="24"/>
  <c r="J32" i="24"/>
  <c r="J38" i="24"/>
  <c r="J29" i="24"/>
  <c r="J36" i="24"/>
  <c r="B37" i="24"/>
  <c r="B35" i="24"/>
  <c r="C31" i="28" s="1"/>
  <c r="B34" i="24"/>
  <c r="C30" i="28" s="1"/>
  <c r="B33" i="24"/>
  <c r="C29" i="28" s="1"/>
  <c r="B31" i="24"/>
  <c r="C28" i="28" s="1"/>
  <c r="B30" i="24"/>
  <c r="C27" i="28" s="1"/>
  <c r="B28" i="24"/>
  <c r="C26" i="28" s="1"/>
  <c r="B27" i="24"/>
  <c r="C25" i="28" s="1"/>
  <c r="B26" i="24"/>
  <c r="C24" i="28" s="1"/>
  <c r="B25" i="24"/>
  <c r="C23" i="28" s="1"/>
  <c r="B24" i="24"/>
  <c r="C22" i="28" s="1"/>
  <c r="B23" i="24"/>
  <c r="C21" i="28" s="1"/>
  <c r="B22" i="24"/>
  <c r="C20" i="28" s="1"/>
  <c r="B18" i="24"/>
  <c r="B16" i="24"/>
  <c r="B15" i="24"/>
  <c r="E15" i="24" s="1"/>
  <c r="B14" i="24"/>
  <c r="B13" i="24"/>
  <c r="E13" i="24" s="1"/>
  <c r="B12" i="24"/>
  <c r="B11" i="24"/>
  <c r="E11" i="24" s="1"/>
  <c r="B10" i="24"/>
  <c r="B32" i="23"/>
  <c r="B30" i="23"/>
  <c r="B29" i="23"/>
  <c r="B28" i="23"/>
  <c r="B26" i="23"/>
  <c r="B25" i="23"/>
  <c r="B24" i="23"/>
  <c r="B23" i="23"/>
  <c r="B22" i="23"/>
  <c r="B21" i="23"/>
  <c r="B20" i="23"/>
  <c r="B19" i="23"/>
  <c r="B18" i="23"/>
  <c r="B15" i="23"/>
  <c r="B14" i="23"/>
  <c r="B13" i="23"/>
  <c r="B12" i="23"/>
  <c r="B11" i="23"/>
  <c r="B10" i="23"/>
  <c r="G13" i="23" l="1"/>
  <c r="G9" i="23"/>
  <c r="E37" i="24"/>
  <c r="C32" i="28"/>
  <c r="L15" i="24"/>
  <c r="P15" i="24"/>
  <c r="P11" i="24"/>
  <c r="F11" i="28"/>
  <c r="H11" i="28" s="1"/>
  <c r="P13" i="24"/>
  <c r="F13" i="28"/>
  <c r="H13" i="28" s="1"/>
  <c r="E18" i="24"/>
  <c r="L18" i="24" s="1"/>
  <c r="C17" i="28"/>
  <c r="C28" i="23"/>
  <c r="C23" i="23"/>
  <c r="E10" i="23"/>
  <c r="G10" i="23"/>
  <c r="E14" i="23"/>
  <c r="G14" i="23"/>
  <c r="C20" i="23"/>
  <c r="C24" i="23"/>
  <c r="C29" i="23"/>
  <c r="C19" i="23"/>
  <c r="F11" i="23"/>
  <c r="G11" i="23"/>
  <c r="F15" i="23"/>
  <c r="G15" i="23"/>
  <c r="C21" i="23"/>
  <c r="C25" i="23"/>
  <c r="C30" i="23"/>
  <c r="E12" i="23"/>
  <c r="G12" i="23"/>
  <c r="C18" i="23"/>
  <c r="C22" i="23"/>
  <c r="C26" i="23"/>
  <c r="F32" i="23"/>
  <c r="A10" i="23"/>
  <c r="F12" i="23"/>
  <c r="E32" i="23"/>
  <c r="E15" i="23"/>
  <c r="E11" i="23"/>
  <c r="A12" i="23"/>
  <c r="A14" i="23"/>
  <c r="A15" i="23"/>
  <c r="F10" i="23"/>
  <c r="F14" i="23"/>
  <c r="E9" i="23"/>
  <c r="E13" i="23"/>
  <c r="L11" i="24"/>
  <c r="D37" i="24"/>
  <c r="A15" i="24"/>
  <c r="E10" i="24"/>
  <c r="F10" i="28" s="1"/>
  <c r="H10" i="28" s="1"/>
  <c r="E14" i="24"/>
  <c r="A11" i="24"/>
  <c r="D12" i="24"/>
  <c r="E12" i="28" s="1"/>
  <c r="D16" i="24"/>
  <c r="D18" i="24"/>
  <c r="A16" i="24"/>
  <c r="E12" i="24"/>
  <c r="F12" i="28" s="1"/>
  <c r="H12" i="28" s="1"/>
  <c r="E16" i="24"/>
  <c r="P16" i="24" s="1"/>
  <c r="D10" i="24"/>
  <c r="E10" i="28" s="1"/>
  <c r="A13" i="24"/>
  <c r="D14" i="24"/>
  <c r="A10" i="24"/>
  <c r="D11" i="24"/>
  <c r="E11" i="28" s="1"/>
  <c r="A12" i="24"/>
  <c r="D13" i="24"/>
  <c r="E13" i="28" s="1"/>
  <c r="A14" i="24"/>
  <c r="D15" i="24"/>
  <c r="F9" i="23"/>
  <c r="F13" i="23"/>
  <c r="A9" i="23"/>
  <c r="A11" i="23"/>
  <c r="A13" i="23"/>
  <c r="B12" i="21"/>
  <c r="E7" i="19"/>
  <c r="M9" i="19"/>
  <c r="O9" i="19" s="1"/>
  <c r="P9" i="19" s="1"/>
  <c r="H9" i="19" s="1"/>
  <c r="M7" i="19"/>
  <c r="O7" i="19" s="1"/>
  <c r="M5" i="19"/>
  <c r="O5" i="19" s="1"/>
  <c r="P5" i="19" s="1"/>
  <c r="Q5" i="19"/>
  <c r="M6" i="19"/>
  <c r="O6" i="19" s="1"/>
  <c r="P6" i="19" s="1"/>
  <c r="O8" i="19"/>
  <c r="O10" i="19"/>
  <c r="P10" i="19" s="1"/>
  <c r="H10" i="19" s="1"/>
  <c r="O11" i="19"/>
  <c r="P11" i="19" s="1"/>
  <c r="I16" i="19"/>
  <c r="F12" i="21" l="1"/>
  <c r="P7" i="19"/>
  <c r="H7" i="19" s="1"/>
  <c r="L37" i="24"/>
  <c r="P37" i="24"/>
  <c r="M18" i="24"/>
  <c r="N18" i="24" s="1"/>
  <c r="F17" i="28"/>
  <c r="H17" i="28" s="1"/>
  <c r="F18" i="28"/>
  <c r="H18" i="28" s="1"/>
  <c r="F19" i="28"/>
  <c r="H19" i="28" s="1"/>
  <c r="P14" i="24"/>
  <c r="L14" i="24"/>
  <c r="P12" i="24"/>
  <c r="L12" i="24"/>
  <c r="L10" i="24"/>
  <c r="P10" i="24"/>
  <c r="I14" i="19"/>
  <c r="I13" i="19"/>
  <c r="B14" i="19"/>
  <c r="B16" i="29" s="1"/>
  <c r="B13" i="19"/>
  <c r="D16" i="29" l="1"/>
  <c r="E16" i="29"/>
  <c r="G16" i="29" s="1"/>
  <c r="B15" i="29"/>
  <c r="D20" i="29"/>
  <c r="D27" i="29"/>
  <c r="D19" i="29"/>
  <c r="D26" i="29"/>
  <c r="F30" i="28"/>
  <c r="H30" i="28" s="1"/>
  <c r="E31" i="28"/>
  <c r="E29" i="28"/>
  <c r="F31" i="28"/>
  <c r="H31" i="28" s="1"/>
  <c r="E30" i="28"/>
  <c r="E27" i="28"/>
  <c r="E28" i="28"/>
  <c r="F29" i="28"/>
  <c r="H29" i="28" s="1"/>
  <c r="F28" i="28"/>
  <c r="H28" i="28" s="1"/>
  <c r="E33" i="24"/>
  <c r="P33" i="24" s="1"/>
  <c r="F28" i="23"/>
  <c r="E24" i="23"/>
  <c r="F24" i="23"/>
  <c r="B19" i="24"/>
  <c r="E28" i="23"/>
  <c r="F21" i="23"/>
  <c r="F20" i="23"/>
  <c r="E21" i="23"/>
  <c r="E20" i="23"/>
  <c r="E29" i="23"/>
  <c r="F23" i="23"/>
  <c r="E23" i="24"/>
  <c r="F19" i="23"/>
  <c r="F26" i="23"/>
  <c r="D24" i="24"/>
  <c r="E24" i="24"/>
  <c r="P24" i="24" s="1"/>
  <c r="D23" i="24"/>
  <c r="E34" i="24"/>
  <c r="P34" i="24" s="1"/>
  <c r="E18" i="23"/>
  <c r="F22" i="23"/>
  <c r="F22" i="24"/>
  <c r="E27" i="24"/>
  <c r="P27" i="24" s="1"/>
  <c r="D25" i="24"/>
  <c r="E25" i="24"/>
  <c r="P25" i="24" s="1"/>
  <c r="D26" i="24"/>
  <c r="E26" i="24"/>
  <c r="P26" i="24" s="1"/>
  <c r="D35" i="24"/>
  <c r="E25" i="23"/>
  <c r="E23" i="23"/>
  <c r="E30" i="23"/>
  <c r="D33" i="24"/>
  <c r="D34" i="24"/>
  <c r="D22" i="24"/>
  <c r="D30" i="24"/>
  <c r="E28" i="24"/>
  <c r="P28" i="24" s="1"/>
  <c r="D27" i="24"/>
  <c r="F18" i="23"/>
  <c r="E31" i="24"/>
  <c r="F30" i="23"/>
  <c r="D28" i="24"/>
  <c r="E22" i="23"/>
  <c r="E35" i="24"/>
  <c r="P35" i="24" s="1"/>
  <c r="E22" i="24"/>
  <c r="P22" i="24" s="1"/>
  <c r="D31" i="24"/>
  <c r="E19" i="23"/>
  <c r="E26" i="23"/>
  <c r="F29" i="23"/>
  <c r="B20" i="24"/>
  <c r="C19" i="28" s="1"/>
  <c r="I21" i="19"/>
  <c r="I19" i="19"/>
  <c r="D15" i="29" l="1"/>
  <c r="E15" i="29"/>
  <c r="G15" i="29" s="1"/>
  <c r="G51" i="29" s="1"/>
  <c r="H9" i="28"/>
  <c r="H35" i="28" s="1"/>
  <c r="L23" i="24"/>
  <c r="P23" i="24"/>
  <c r="C18" i="28"/>
  <c r="G34" i="23"/>
  <c r="G24" i="23"/>
  <c r="G19" i="23"/>
  <c r="G25" i="23"/>
  <c r="G32" i="23"/>
  <c r="G22" i="23"/>
  <c r="G18" i="23"/>
  <c r="H18" i="23" s="1"/>
  <c r="G26" i="23"/>
  <c r="G20" i="23"/>
  <c r="G30" i="23"/>
  <c r="G23" i="23"/>
  <c r="H23" i="23" s="1"/>
  <c r="G28" i="23"/>
  <c r="G29" i="23"/>
  <c r="G21" i="23"/>
  <c r="H21" i="23" s="1"/>
  <c r="L31" i="24"/>
  <c r="P31" i="24"/>
  <c r="F25" i="24"/>
  <c r="G25" i="24" s="1"/>
  <c r="M25" i="24" s="1"/>
  <c r="N25" i="24" s="1"/>
  <c r="F27" i="24"/>
  <c r="G27" i="24" s="1"/>
  <c r="M27" i="24" s="1"/>
  <c r="N27" i="24" s="1"/>
  <c r="L26" i="24"/>
  <c r="E19" i="24"/>
  <c r="D19" i="24"/>
  <c r="G22" i="24"/>
  <c r="L22" i="24"/>
  <c r="L24" i="24"/>
  <c r="D20" i="24"/>
  <c r="E20" i="24"/>
  <c r="L28" i="24"/>
  <c r="L25" i="24"/>
  <c r="L35" i="24"/>
  <c r="L34" i="24"/>
  <c r="L33" i="24"/>
  <c r="E29" i="19"/>
  <c r="E28" i="19"/>
  <c r="H36" i="28" l="1"/>
  <c r="H37" i="28" s="1"/>
  <c r="M20" i="24"/>
  <c r="N20" i="24" s="1"/>
  <c r="L20" i="24"/>
  <c r="M22" i="24"/>
  <c r="N22" i="24" s="1"/>
  <c r="M19" i="24"/>
  <c r="N19" i="24" s="1"/>
  <c r="L19" i="24"/>
  <c r="D36" i="19"/>
  <c r="F38" i="19"/>
  <c r="F39" i="19"/>
  <c r="F40" i="19"/>
  <c r="F42" i="19"/>
  <c r="F37" i="19"/>
  <c r="D41" i="19"/>
  <c r="F41" i="19" s="1"/>
  <c r="F36" i="19" l="1"/>
  <c r="C55" i="19" s="1"/>
  <c r="B15" i="21"/>
  <c r="E15" i="21" s="1"/>
  <c r="B14" i="21"/>
  <c r="E14" i="21" s="1"/>
  <c r="B10" i="21"/>
  <c r="E10" i="21" s="1"/>
  <c r="B35" i="21"/>
  <c r="B34" i="21"/>
  <c r="B33" i="21"/>
  <c r="B28" i="21"/>
  <c r="B27" i="21"/>
  <c r="B26" i="21"/>
  <c r="B25" i="21"/>
  <c r="B24" i="21"/>
  <c r="B13" i="21"/>
  <c r="E13" i="21" s="1"/>
  <c r="B16" i="21"/>
  <c r="E16" i="21" s="1"/>
  <c r="B18" i="21"/>
  <c r="B11" i="21"/>
  <c r="E11" i="21" s="1"/>
  <c r="B37" i="21"/>
  <c r="F25" i="21" l="1"/>
  <c r="E25" i="21"/>
  <c r="F28" i="21"/>
  <c r="E28" i="21"/>
  <c r="F27" i="21"/>
  <c r="E27" i="21"/>
  <c r="F33" i="21"/>
  <c r="E33" i="21"/>
  <c r="F35" i="21"/>
  <c r="E35" i="21"/>
  <c r="F34" i="21"/>
  <c r="E34" i="21"/>
  <c r="F24" i="21"/>
  <c r="E24" i="21"/>
  <c r="F26" i="21"/>
  <c r="E26" i="21"/>
  <c r="D37" i="21"/>
  <c r="E37" i="21"/>
  <c r="F11" i="21"/>
  <c r="F14" i="21"/>
  <c r="F16" i="21"/>
  <c r="F15" i="21"/>
  <c r="F10" i="21"/>
  <c r="F13" i="21"/>
  <c r="E36" i="19"/>
  <c r="I36" i="19" s="1"/>
  <c r="J36" i="19" s="1"/>
  <c r="K36" i="19" s="1"/>
  <c r="H34" i="23"/>
  <c r="H33" i="23" s="1"/>
  <c r="C65" i="19"/>
  <c r="D35" i="21"/>
  <c r="D33" i="21"/>
  <c r="D34" i="21"/>
  <c r="D28" i="21"/>
  <c r="D24" i="21"/>
  <c r="D25" i="21"/>
  <c r="D26" i="21"/>
  <c r="D27" i="21"/>
  <c r="D10" i="21"/>
  <c r="E18" i="21"/>
  <c r="D18" i="21"/>
  <c r="D16" i="21"/>
  <c r="D14" i="21"/>
  <c r="D13" i="21"/>
  <c r="D15" i="21"/>
  <c r="D11" i="21"/>
  <c r="D12" i="21"/>
  <c r="A13" i="21"/>
  <c r="A10" i="21"/>
  <c r="A11" i="21"/>
  <c r="A15" i="21"/>
  <c r="A14" i="21"/>
  <c r="A16" i="21"/>
  <c r="A12" i="21"/>
  <c r="F39" i="24" l="1"/>
  <c r="G39" i="24" s="1"/>
  <c r="G38" i="24" s="1"/>
  <c r="A12" i="19"/>
  <c r="M39" i="24" l="1"/>
  <c r="N39" i="24" s="1"/>
  <c r="I24" i="19"/>
  <c r="E27" i="19"/>
  <c r="I27" i="19" s="1"/>
  <c r="F30" i="24" l="1"/>
  <c r="G30" i="24" s="1"/>
  <c r="H25" i="23"/>
  <c r="G33" i="21"/>
  <c r="H28" i="23"/>
  <c r="F33" i="24"/>
  <c r="G33" i="24" s="1"/>
  <c r="I18" i="19"/>
  <c r="M33" i="24" l="1"/>
  <c r="N33" i="24" s="1"/>
  <c r="H20" i="23"/>
  <c r="F24" i="24"/>
  <c r="G24" i="24" s="1"/>
  <c r="M30" i="24"/>
  <c r="N30" i="24" s="1"/>
  <c r="E8" i="19"/>
  <c r="P8" i="19" s="1"/>
  <c r="M24" i="24" l="1"/>
  <c r="N24" i="24" s="1"/>
  <c r="F8" i="19"/>
  <c r="H6" i="19"/>
  <c r="I6" i="19" l="1"/>
  <c r="F11" i="24" l="1"/>
  <c r="G11" i="24" s="1"/>
  <c r="H10" i="23"/>
  <c r="I29" i="19"/>
  <c r="F28" i="19"/>
  <c r="M11" i="24" l="1"/>
  <c r="N11" i="24" s="1"/>
  <c r="H30" i="23"/>
  <c r="F35" i="24"/>
  <c r="G35" i="24" s="1"/>
  <c r="J29" i="19"/>
  <c r="G35" i="21"/>
  <c r="F29" i="19"/>
  <c r="I28" i="19"/>
  <c r="B20" i="21"/>
  <c r="R29" i="19"/>
  <c r="AA29" i="19" s="1"/>
  <c r="R28" i="19"/>
  <c r="AA28" i="19" s="1"/>
  <c r="M35" i="24" l="1"/>
  <c r="N35" i="24" s="1"/>
  <c r="K29" i="19"/>
  <c r="F34" i="24"/>
  <c r="G34" i="24" s="1"/>
  <c r="H29" i="23"/>
  <c r="H27" i="23" s="1"/>
  <c r="J28" i="19"/>
  <c r="K28" i="19" s="1"/>
  <c r="G34" i="21"/>
  <c r="D20" i="21"/>
  <c r="E20" i="21"/>
  <c r="AB20" i="19"/>
  <c r="S20" i="19"/>
  <c r="R20" i="19"/>
  <c r="AA20" i="19" s="1"/>
  <c r="O20" i="19"/>
  <c r="P20" i="19" s="1"/>
  <c r="I20" i="19"/>
  <c r="F20" i="19"/>
  <c r="F26" i="24" l="1"/>
  <c r="G26" i="24" s="1"/>
  <c r="H22" i="23"/>
  <c r="M34" i="24"/>
  <c r="N34" i="24" s="1"/>
  <c r="G32" i="24"/>
  <c r="T20" i="19"/>
  <c r="U20" i="19" s="1"/>
  <c r="AC20" i="19"/>
  <c r="J20" i="19"/>
  <c r="Y20" i="19" l="1"/>
  <c r="M26" i="24"/>
  <c r="N26" i="24" s="1"/>
  <c r="K20" i="19"/>
  <c r="I17" i="19"/>
  <c r="H19" i="23" l="1"/>
  <c r="F23" i="24"/>
  <c r="G23" i="24" s="1"/>
  <c r="S21" i="19"/>
  <c r="A6" i="19"/>
  <c r="A7" i="19"/>
  <c r="A8" i="19"/>
  <c r="A9" i="19"/>
  <c r="A10" i="19"/>
  <c r="A11" i="19"/>
  <c r="J27" i="19"/>
  <c r="J26" i="19" s="1"/>
  <c r="M23" i="24" l="1"/>
  <c r="N23" i="24" s="1"/>
  <c r="F27" i="19"/>
  <c r="F26" i="19" s="1"/>
  <c r="K27" i="19" l="1"/>
  <c r="K26" i="19" s="1"/>
  <c r="H26" i="19" s="1"/>
  <c r="G39" i="21" l="1"/>
  <c r="G38" i="21" s="1"/>
  <c r="J24" i="19"/>
  <c r="I31" i="19"/>
  <c r="F24" i="19"/>
  <c r="F35" i="19"/>
  <c r="E33" i="19"/>
  <c r="I33" i="19" s="1"/>
  <c r="J33" i="19" s="1"/>
  <c r="I25" i="19"/>
  <c r="I12" i="19"/>
  <c r="F25" i="19"/>
  <c r="F12" i="19"/>
  <c r="F22" i="19"/>
  <c r="I22" i="19"/>
  <c r="I34" i="19"/>
  <c r="J34" i="19" s="1"/>
  <c r="F34" i="19"/>
  <c r="F19" i="19"/>
  <c r="F21" i="19"/>
  <c r="F16" i="19"/>
  <c r="F32" i="19"/>
  <c r="F17" i="19"/>
  <c r="J19" i="19"/>
  <c r="M21" i="19"/>
  <c r="J16" i="19"/>
  <c r="I32" i="19"/>
  <c r="J32" i="19" s="1"/>
  <c r="J17" i="19"/>
  <c r="J25" i="19" l="1"/>
  <c r="H26" i="23"/>
  <c r="F31" i="24"/>
  <c r="G31" i="24" s="1"/>
  <c r="H24" i="23"/>
  <c r="H17" i="23" s="1"/>
  <c r="F28" i="24"/>
  <c r="G28" i="24" s="1"/>
  <c r="F17" i="24"/>
  <c r="G17" i="24" s="1"/>
  <c r="H16" i="23"/>
  <c r="J22" i="19"/>
  <c r="J12" i="19"/>
  <c r="K12" i="19" s="1"/>
  <c r="G17" i="21"/>
  <c r="F23" i="19"/>
  <c r="J23" i="19"/>
  <c r="K17" i="19"/>
  <c r="K32" i="19"/>
  <c r="K24" i="19"/>
  <c r="K22" i="19"/>
  <c r="F33" i="19"/>
  <c r="K33" i="19" s="1"/>
  <c r="I35" i="19"/>
  <c r="J35" i="19" s="1"/>
  <c r="K35" i="19" s="1"/>
  <c r="K19" i="19"/>
  <c r="K34" i="19"/>
  <c r="J21" i="19"/>
  <c r="K21" i="19" s="1"/>
  <c r="K16" i="19"/>
  <c r="K25" i="19"/>
  <c r="J18" i="19"/>
  <c r="F18" i="19"/>
  <c r="F15" i="19" s="1"/>
  <c r="I11" i="19"/>
  <c r="F10" i="19"/>
  <c r="I9" i="19"/>
  <c r="I10" i="19"/>
  <c r="I8" i="19"/>
  <c r="F11" i="19"/>
  <c r="F7" i="19"/>
  <c r="F6" i="19"/>
  <c r="G11" i="21" s="1"/>
  <c r="F5" i="19"/>
  <c r="J15" i="19" l="1"/>
  <c r="H14" i="23"/>
  <c r="F15" i="24"/>
  <c r="G15" i="24" s="1"/>
  <c r="M17" i="24"/>
  <c r="N17" i="24" s="1"/>
  <c r="H12" i="23"/>
  <c r="F13" i="24"/>
  <c r="G13" i="24" s="1"/>
  <c r="F16" i="24"/>
  <c r="G16" i="24" s="1"/>
  <c r="H15" i="23"/>
  <c r="M31" i="24"/>
  <c r="N31" i="24" s="1"/>
  <c r="G29" i="24"/>
  <c r="H13" i="23"/>
  <c r="F14" i="24"/>
  <c r="G14" i="24" s="1"/>
  <c r="M28" i="24"/>
  <c r="N28" i="24" s="1"/>
  <c r="G21" i="24"/>
  <c r="J8" i="19"/>
  <c r="J11" i="19"/>
  <c r="K11" i="19" s="1"/>
  <c r="J10" i="19"/>
  <c r="K23" i="19"/>
  <c r="H23" i="19" s="1"/>
  <c r="J6" i="19"/>
  <c r="K6" i="19" s="1"/>
  <c r="K10" i="19"/>
  <c r="K18" i="19"/>
  <c r="K15" i="19" s="1"/>
  <c r="I7" i="19"/>
  <c r="K8" i="19"/>
  <c r="M16" i="24" l="1"/>
  <c r="M13" i="24"/>
  <c r="N13" i="24" s="1"/>
  <c r="M15" i="24"/>
  <c r="N15" i="24" s="1"/>
  <c r="M14" i="24"/>
  <c r="N14" i="24" s="1"/>
  <c r="G12" i="21"/>
  <c r="H11" i="23"/>
  <c r="F12" i="24"/>
  <c r="G12" i="24" s="1"/>
  <c r="J7" i="19"/>
  <c r="K7" i="19" s="1"/>
  <c r="R21" i="19"/>
  <c r="AA21" i="19" s="1"/>
  <c r="M12" i="24" l="1"/>
  <c r="N12" i="24" s="1"/>
  <c r="N16" i="24"/>
  <c r="R22" i="19"/>
  <c r="AA22" i="19" s="1"/>
  <c r="AB36" i="19" l="1"/>
  <c r="AA36" i="19"/>
  <c r="Y36" i="19"/>
  <c r="U36" i="19"/>
  <c r="M36" i="19"/>
  <c r="AB27" i="19"/>
  <c r="R27" i="19"/>
  <c r="AA27" i="19" s="1"/>
  <c r="S27" i="19"/>
  <c r="Y26" i="19"/>
  <c r="V26" i="19"/>
  <c r="AB26" i="19" s="1"/>
  <c r="R26" i="19"/>
  <c r="U26" i="19" s="1"/>
  <c r="N26" i="19"/>
  <c r="AB31" i="19"/>
  <c r="S31" i="19"/>
  <c r="T31" i="19"/>
  <c r="AB24" i="19"/>
  <c r="AA24" i="19"/>
  <c r="S24" i="19"/>
  <c r="M24" i="19"/>
  <c r="B30" i="21"/>
  <c r="Y33" i="19"/>
  <c r="S33" i="19"/>
  <c r="T33" i="19"/>
  <c r="AA14" i="19"/>
  <c r="Y14" i="19"/>
  <c r="S14" i="19"/>
  <c r="M14" i="19"/>
  <c r="O14" i="19" s="1"/>
  <c r="P14" i="19" s="1"/>
  <c r="T14" i="19"/>
  <c r="AA13" i="19"/>
  <c r="Y13" i="19"/>
  <c r="S13" i="19"/>
  <c r="P13" i="19"/>
  <c r="T13" i="19"/>
  <c r="AB12" i="19"/>
  <c r="S12" i="19"/>
  <c r="R12" i="19"/>
  <c r="AA12" i="19" s="1"/>
  <c r="Y25" i="19"/>
  <c r="S25" i="19"/>
  <c r="B31" i="21"/>
  <c r="Y34" i="19"/>
  <c r="S34" i="19"/>
  <c r="T34" i="19"/>
  <c r="AB17" i="19"/>
  <c r="B23" i="21"/>
  <c r="AB32" i="19"/>
  <c r="S32" i="19"/>
  <c r="P32" i="19"/>
  <c r="T32" i="19"/>
  <c r="AB16" i="19"/>
  <c r="S16" i="19"/>
  <c r="P16" i="19"/>
  <c r="T16" i="19"/>
  <c r="AB19" i="19"/>
  <c r="S19" i="19"/>
  <c r="O19" i="19"/>
  <c r="P19" i="19" s="1"/>
  <c r="T19" i="19"/>
  <c r="Y19" i="19" s="1"/>
  <c r="Y18" i="19"/>
  <c r="S18" i="19"/>
  <c r="R18" i="19"/>
  <c r="AA18" i="19" s="1"/>
  <c r="O18" i="19"/>
  <c r="P18" i="19" s="1"/>
  <c r="T18" i="19"/>
  <c r="AB11" i="19"/>
  <c r="S11" i="19"/>
  <c r="T11" i="19"/>
  <c r="Y11" i="19" s="1"/>
  <c r="AB10" i="19"/>
  <c r="S10" i="19"/>
  <c r="AB9" i="19"/>
  <c r="S9" i="19"/>
  <c r="Y8" i="19"/>
  <c r="S8" i="19"/>
  <c r="AB7" i="19"/>
  <c r="S7" i="19"/>
  <c r="R7" i="19"/>
  <c r="AA7" i="19" s="1"/>
  <c r="AB5" i="19"/>
  <c r="R5" i="19"/>
  <c r="AA5" i="19" s="1"/>
  <c r="A5" i="19"/>
  <c r="F30" i="21" l="1"/>
  <c r="E30" i="21"/>
  <c r="F23" i="21"/>
  <c r="E23" i="21"/>
  <c r="F31" i="21"/>
  <c r="E31" i="21"/>
  <c r="D30" i="21"/>
  <c r="D31" i="21"/>
  <c r="D23" i="21"/>
  <c r="G13" i="21"/>
  <c r="B22" i="21"/>
  <c r="G16" i="21"/>
  <c r="G15" i="21"/>
  <c r="B19" i="21"/>
  <c r="A13" i="19"/>
  <c r="A14" i="19"/>
  <c r="F9" i="19"/>
  <c r="J9" i="19"/>
  <c r="R13" i="19"/>
  <c r="U13" i="19" s="1"/>
  <c r="R34" i="19"/>
  <c r="AA34" i="19" s="1"/>
  <c r="T7" i="19"/>
  <c r="U7" i="19" s="1"/>
  <c r="T9" i="19"/>
  <c r="Y9" i="19" s="1"/>
  <c r="R10" i="19"/>
  <c r="AA10" i="19" s="1"/>
  <c r="AC10" i="19" s="1"/>
  <c r="R32" i="19"/>
  <c r="AA32" i="19" s="1"/>
  <c r="AC32" i="19" s="1"/>
  <c r="R25" i="19"/>
  <c r="T8" i="19"/>
  <c r="V8" i="19" s="1"/>
  <c r="AB8" i="19" s="1"/>
  <c r="T10" i="19"/>
  <c r="Y10" i="19" s="1"/>
  <c r="R11" i="19"/>
  <c r="AA11" i="19" s="1"/>
  <c r="AC11" i="19" s="1"/>
  <c r="F14" i="19"/>
  <c r="F31" i="19"/>
  <c r="F30" i="19" s="1"/>
  <c r="AC36" i="19"/>
  <c r="H5" i="19"/>
  <c r="I5" i="19" s="1"/>
  <c r="AC7" i="19"/>
  <c r="AC12" i="19"/>
  <c r="AC27" i="19"/>
  <c r="AC5" i="19"/>
  <c r="Y32" i="19"/>
  <c r="T25" i="19"/>
  <c r="V25" i="19" s="1"/>
  <c r="AB25" i="19" s="1"/>
  <c r="R9" i="19"/>
  <c r="AA9" i="19" s="1"/>
  <c r="AC9" i="19" s="1"/>
  <c r="R24" i="19"/>
  <c r="V34" i="19"/>
  <c r="AB34" i="19" s="1"/>
  <c r="Y16" i="19"/>
  <c r="V14" i="19"/>
  <c r="AB14" i="19" s="1"/>
  <c r="AC14" i="19" s="1"/>
  <c r="U18" i="19"/>
  <c r="T12" i="19"/>
  <c r="T24" i="19"/>
  <c r="AA26" i="19"/>
  <c r="AC26" i="19" s="1"/>
  <c r="S5" i="19"/>
  <c r="AC24" i="19"/>
  <c r="Y31" i="19"/>
  <c r="R33" i="19"/>
  <c r="AA33" i="19" s="1"/>
  <c r="S17" i="19"/>
  <c r="F22" i="21" l="1"/>
  <c r="E22" i="21"/>
  <c r="F10" i="24"/>
  <c r="G10" i="24" s="1"/>
  <c r="H9" i="23"/>
  <c r="H8" i="23" s="1"/>
  <c r="G30" i="21"/>
  <c r="G31" i="21"/>
  <c r="D22" i="21"/>
  <c r="G24" i="21"/>
  <c r="E19" i="21"/>
  <c r="D19" i="21"/>
  <c r="G23" i="21"/>
  <c r="G28" i="21"/>
  <c r="G14" i="21"/>
  <c r="G27" i="21"/>
  <c r="U34" i="19"/>
  <c r="J5" i="19"/>
  <c r="K5" i="19" s="1"/>
  <c r="G10" i="21"/>
  <c r="G25" i="21"/>
  <c r="G26" i="21"/>
  <c r="U32" i="19"/>
  <c r="Y7" i="19"/>
  <c r="K9" i="19"/>
  <c r="J14" i="19"/>
  <c r="K14" i="19" s="1"/>
  <c r="F13" i="19"/>
  <c r="F4" i="19" s="1"/>
  <c r="J13" i="19"/>
  <c r="R31" i="19"/>
  <c r="AA31" i="19" s="1"/>
  <c r="AC31" i="19" s="1"/>
  <c r="J31" i="19"/>
  <c r="J30" i="19" s="1"/>
  <c r="AC34" i="19"/>
  <c r="U11" i="19"/>
  <c r="R16" i="19"/>
  <c r="AA16" i="19" s="1"/>
  <c r="AC16" i="19" s="1"/>
  <c r="AA25" i="19"/>
  <c r="AC25" i="19" s="1"/>
  <c r="U25" i="19"/>
  <c r="U10" i="19"/>
  <c r="R14" i="19"/>
  <c r="U14" i="19" s="1"/>
  <c r="U9" i="19"/>
  <c r="W25" i="19"/>
  <c r="R17" i="19"/>
  <c r="AA17" i="19" s="1"/>
  <c r="AC17" i="19" s="1"/>
  <c r="R8" i="19"/>
  <c r="T5" i="19"/>
  <c r="U24" i="19"/>
  <c r="Y24" i="19"/>
  <c r="U33" i="19"/>
  <c r="W34" i="19"/>
  <c r="T17" i="19"/>
  <c r="R19" i="19"/>
  <c r="W8" i="19"/>
  <c r="T27" i="19"/>
  <c r="Y12" i="19"/>
  <c r="U12" i="19"/>
  <c r="W14" i="19"/>
  <c r="G37" i="21" l="1"/>
  <c r="G36" i="21" s="1"/>
  <c r="F37" i="24"/>
  <c r="G37" i="24" s="1"/>
  <c r="H32" i="23"/>
  <c r="H31" i="23" s="1"/>
  <c r="H35" i="23" s="1"/>
  <c r="H36" i="23" s="1"/>
  <c r="H37" i="23" s="1"/>
  <c r="M10" i="24"/>
  <c r="N10" i="24" s="1"/>
  <c r="G9" i="24"/>
  <c r="G9" i="21"/>
  <c r="F43" i="19"/>
  <c r="C53" i="19"/>
  <c r="G32" i="21"/>
  <c r="G29" i="21"/>
  <c r="U31" i="19"/>
  <c r="G22" i="21"/>
  <c r="G21" i="21" s="1"/>
  <c r="J4" i="19"/>
  <c r="K13" i="19"/>
  <c r="K4" i="19" s="1"/>
  <c r="K31" i="19"/>
  <c r="K30" i="19" s="1"/>
  <c r="H30" i="19" s="1"/>
  <c r="U16" i="19"/>
  <c r="U5" i="19"/>
  <c r="Y5" i="19"/>
  <c r="U27" i="19"/>
  <c r="Y27" i="19"/>
  <c r="AA19" i="19"/>
  <c r="AC19" i="19" s="1"/>
  <c r="U19" i="19"/>
  <c r="Y17" i="19"/>
  <c r="V17" i="19"/>
  <c r="W17" i="19" s="1"/>
  <c r="U17" i="19"/>
  <c r="AA8" i="19"/>
  <c r="AC8" i="19" s="1"/>
  <c r="U8" i="19"/>
  <c r="G40" i="21" l="1"/>
  <c r="G41" i="21" s="1"/>
  <c r="G42" i="21" s="1"/>
  <c r="J43" i="19"/>
  <c r="C51" i="19" s="1"/>
  <c r="C64" i="19"/>
  <c r="M37" i="24"/>
  <c r="N37" i="24" s="1"/>
  <c r="N40" i="24" s="1"/>
  <c r="G36" i="24"/>
  <c r="G40" i="24" s="1"/>
  <c r="K43" i="19"/>
  <c r="H4" i="19"/>
  <c r="H15" i="19"/>
  <c r="U43" i="19"/>
  <c r="T2" i="19"/>
  <c r="J44" i="19" l="1"/>
  <c r="J45" i="19" s="1"/>
  <c r="G41" i="24"/>
  <c r="G42" i="24" s="1"/>
  <c r="J8" i="24"/>
  <c r="M8" i="24"/>
  <c r="E61" i="19"/>
  <c r="C57" i="19"/>
  <c r="C52" i="19" s="1"/>
  <c r="F61" i="19" s="1"/>
  <c r="E53" i="19"/>
  <c r="E48" i="19"/>
  <c r="C66" i="19" s="1"/>
  <c r="C63" i="19" s="1"/>
  <c r="E55" i="19"/>
  <c r="C60" i="19"/>
  <c r="E60" i="19" s="1"/>
  <c r="F44" i="19"/>
  <c r="F45" i="19" s="1"/>
  <c r="I39" i="24" l="1"/>
  <c r="I27" i="24"/>
  <c r="I19" i="24"/>
  <c r="P19" i="24" s="1"/>
  <c r="I18" i="24"/>
  <c r="I25" i="24"/>
  <c r="I20" i="24"/>
  <c r="P20" i="24" s="1"/>
  <c r="I22" i="24"/>
  <c r="I33" i="24"/>
  <c r="I30" i="24"/>
  <c r="I24" i="24"/>
  <c r="I11" i="24"/>
  <c r="I35" i="24"/>
  <c r="I34" i="24"/>
  <c r="I26" i="24"/>
  <c r="I23" i="24"/>
  <c r="I17" i="24"/>
  <c r="I28" i="24"/>
  <c r="I31" i="24"/>
  <c r="I13" i="24"/>
  <c r="K13" i="24" s="1"/>
  <c r="L13" i="24" s="1"/>
  <c r="I14" i="24"/>
  <c r="J14" i="24" s="1"/>
  <c r="I16" i="24"/>
  <c r="I15" i="24"/>
  <c r="I12" i="24"/>
  <c r="J12" i="24" s="1"/>
  <c r="I10" i="24"/>
  <c r="J10" i="24" s="1"/>
  <c r="I37" i="24"/>
  <c r="N9" i="24"/>
  <c r="N8" i="24"/>
  <c r="E57" i="19"/>
  <c r="E52" i="19"/>
  <c r="F63" i="19"/>
  <c r="F53" i="19"/>
  <c r="F52" i="19"/>
  <c r="F55" i="19"/>
  <c r="F57" i="19"/>
  <c r="C59" i="19"/>
  <c r="E59" i="19" s="1"/>
  <c r="F60" i="19"/>
  <c r="E63" i="19"/>
  <c r="H43" i="19"/>
  <c r="J33" i="24" l="1"/>
  <c r="J35" i="24" s="1"/>
  <c r="P18" i="24"/>
  <c r="P40" i="24" s="1"/>
  <c r="N45" i="24" s="1"/>
  <c r="J18" i="24"/>
  <c r="J20" i="24" s="1"/>
  <c r="J22" i="24" s="1"/>
  <c r="J24" i="24" s="1"/>
  <c r="J26" i="24" s="1"/>
  <c r="J28" i="24" s="1"/>
  <c r="J30" i="24" s="1"/>
  <c r="J31" i="24"/>
  <c r="K27" i="24"/>
  <c r="L27" i="24" s="1"/>
  <c r="J37" i="24"/>
  <c r="J16" i="24"/>
  <c r="K16" i="24"/>
  <c r="L16" i="24" s="1"/>
  <c r="L40" i="24" s="1"/>
  <c r="J44" i="24" s="1"/>
  <c r="J45" i="24" s="1"/>
  <c r="J34" i="24"/>
  <c r="J39" i="24"/>
  <c r="F59" i="19"/>
  <c r="C68" i="19"/>
  <c r="C69" i="19" s="1"/>
  <c r="C70" i="19" s="1"/>
  <c r="C71" i="19" s="1"/>
  <c r="E68" i="19" l="1"/>
  <c r="F68" i="19"/>
  <c r="F69" i="19"/>
  <c r="E69" i="19"/>
  <c r="F71" i="19"/>
  <c r="E71" i="19"/>
  <c r="T1" i="19"/>
  <c r="U2" i="19" s="1"/>
  <c r="V20" i="19" s="1"/>
  <c r="W20" i="19" s="1"/>
  <c r="V27" i="19" l="1"/>
  <c r="W27" i="19" s="1"/>
  <c r="V9" i="19"/>
  <c r="W9" i="19" s="1"/>
  <c r="V24" i="19"/>
  <c r="W24" i="19" s="1"/>
  <c r="V19" i="19"/>
  <c r="W19" i="19" s="1"/>
  <c r="V10" i="19"/>
  <c r="W10" i="19" s="1"/>
  <c r="V12" i="19"/>
  <c r="W12" i="19" s="1"/>
  <c r="V18" i="19"/>
  <c r="W18" i="19" s="1"/>
  <c r="V13" i="19"/>
  <c r="AB13" i="19" s="1"/>
  <c r="AC13" i="19" s="1"/>
  <c r="V31" i="19"/>
  <c r="W31" i="19" s="1"/>
  <c r="V16" i="19"/>
  <c r="W16" i="19" s="1"/>
  <c r="V11" i="19"/>
  <c r="W11" i="19" s="1"/>
  <c r="V5" i="19"/>
  <c r="W5" i="19" s="1"/>
  <c r="V33" i="19"/>
  <c r="AB33" i="19" s="1"/>
  <c r="AC33" i="19" s="1"/>
  <c r="V7" i="19"/>
  <c r="W7" i="19" s="1"/>
  <c r="V32" i="19"/>
  <c r="W32" i="19" s="1"/>
  <c r="W13" i="19" l="1"/>
  <c r="AB18" i="19"/>
  <c r="AC18" i="19" s="1"/>
  <c r="W33" i="19"/>
  <c r="AC43" i="19"/>
  <c r="Y1" i="19" s="1"/>
  <c r="Y2" i="19" s="1"/>
  <c r="J11" i="24" l="1"/>
  <c r="J13" i="24"/>
  <c r="J15" i="24"/>
  <c r="J17" i="24"/>
  <c r="J19" i="24"/>
  <c r="J21" i="24"/>
  <c r="J23" i="24"/>
  <c r="J25" i="24"/>
  <c r="J27" i="24"/>
  <c r="J40" i="24" l="1"/>
  <c r="I9" i="24" s="1"/>
  <c r="J9" i="24" s="1"/>
</calcChain>
</file>

<file path=xl/sharedStrings.xml><?xml version="1.0" encoding="utf-8"?>
<sst xmlns="http://schemas.openxmlformats.org/spreadsheetml/2006/main" count="696" uniqueCount="361">
  <si>
    <t>info@thiensu.com.vn -www.thiensu.com.vn</t>
  </si>
  <si>
    <t>STT</t>
  </si>
  <si>
    <t>Thành tiền</t>
  </si>
  <si>
    <t>Cái</t>
  </si>
  <si>
    <t xml:space="preserve">Mét </t>
  </si>
  <si>
    <t xml:space="preserve">Sợi </t>
  </si>
  <si>
    <t>Gói</t>
  </si>
  <si>
    <t xml:space="preserve">Bộ </t>
  </si>
  <si>
    <t>VAT 10%</t>
  </si>
  <si>
    <t xml:space="preserve">Ghi chú : </t>
  </si>
  <si>
    <t>Trong thời điểm dịch bệnh nguồn cung từ Nhà phân phối không ổn định , Có thể thay đổi mã sản phẩm khác , đảm bảo yêu cầu kỹ thuật</t>
  </si>
  <si>
    <t xml:space="preserve">Phương thức thanh toán: </t>
  </si>
  <si>
    <t xml:space="preserve">a)  Hình thức thanh toán: Chuyển khoản </t>
  </si>
  <si>
    <t xml:space="preserve">b) Thời hạn thanh toán: sẽ thỏa thuận sau khi chốt báo giá </t>
  </si>
  <si>
    <t xml:space="preserve">Thời gian thi công: </t>
  </si>
  <si>
    <t xml:space="preserve">Thời gian thi công: sẽ thỏa thuận sau khi chốt báo giá </t>
  </si>
  <si>
    <t>Báo giá có giá trị trong vòng 15 ngày kể từ ngày báo giá.</t>
  </si>
  <si>
    <t>Thời gian cung cấp thiết bị sau khi ký hợp đồng không quá 3 tháng</t>
  </si>
  <si>
    <t>- CÔNG TY CỔ PHẦN ĐẦU TƯ VÀ XÂY DỰNG THIÊN SỨ</t>
  </si>
  <si>
    <t>NỘI DUNG CÔNG VIỆC</t>
  </si>
  <si>
    <t>Đ.VỊ</t>
  </si>
  <si>
    <t>SLG</t>
  </si>
  <si>
    <t>GHI CHÚ</t>
  </si>
  <si>
    <t>G.Đơn vị</t>
  </si>
  <si>
    <t>VNĐ</t>
  </si>
  <si>
    <t>%</t>
  </si>
  <si>
    <t>I</t>
  </si>
  <si>
    <t>Công</t>
  </si>
  <si>
    <t>TỔNG CỘNG (CHƯA VAT)</t>
  </si>
  <si>
    <t>TỔNG CỘNG (BAO GỒM VAT 10%)</t>
  </si>
  <si>
    <t>Doanh thu</t>
  </si>
  <si>
    <t>%/DT</t>
  </si>
  <si>
    <t>%/CP</t>
  </si>
  <si>
    <t>Chi phí</t>
  </si>
  <si>
    <t>Chi phí thiết bị</t>
  </si>
  <si>
    <t>Chi phí vật tư</t>
  </si>
  <si>
    <t>Chi phí nhân công</t>
  </si>
  <si>
    <t>Chi phí vận chuyển</t>
  </si>
  <si>
    <t>CP lãi vay</t>
  </si>
  <si>
    <t>CP lãi vay mua thiết bị</t>
  </si>
  <si>
    <t>CP lãi vay nhân công thi công</t>
  </si>
  <si>
    <t xml:space="preserve">GIÁ NIÊM YẾT </t>
  </si>
  <si>
    <t>% GIẢM</t>
  </si>
  <si>
    <t>Giá bán ra</t>
  </si>
  <si>
    <t>% lãi</t>
  </si>
  <si>
    <t>giá bán/giá nhập</t>
  </si>
  <si>
    <t>Người lập</t>
  </si>
  <si>
    <t>Đặng Thị Diễm My</t>
  </si>
  <si>
    <t>HỆ THỐNG CAMERA</t>
  </si>
  <si>
    <t>https://dienmayhoanghai.vn/tivi-samsung/smart-tivi-samsung-4k-50-inch-50au7002-uhd-moi-2022.html</t>
  </si>
  <si>
    <t>THÀNH TIỀN</t>
  </si>
  <si>
    <t>ODF 2FO</t>
  </si>
  <si>
    <t>Converter A/B 1000M</t>
  </si>
  <si>
    <t xml:space="preserve"> </t>
  </si>
  <si>
    <t>Giá ncc</t>
  </si>
  <si>
    <t xml:space="preserve">Giá báo </t>
  </si>
  <si>
    <t>Mã Pb</t>
  </si>
  <si>
    <t>Giá trị bảo lãnh Bảo hành</t>
  </si>
  <si>
    <t>HIỆU QUẢ DỰ ÁN / GÓI THẦU</t>
  </si>
  <si>
    <t>CP lãi vay các khoản bảo lảnh</t>
  </si>
  <si>
    <t>Giá trị được chọn pb</t>
  </si>
  <si>
    <t>SL</t>
  </si>
  <si>
    <t>Giá sau PB LẦN 2</t>
  </si>
  <si>
    <t>Giá sau PB
 LẦN 1</t>
  </si>
  <si>
    <t>%tăng 
so với giá trị báo</t>
  </si>
  <si>
    <t>SL CUỐI</t>
  </si>
  <si>
    <t xml:space="preserve">ĐƠN GIÁ </t>
  </si>
  <si>
    <t>ĐÃ PHÂN BỔ</t>
  </si>
  <si>
    <t xml:space="preserve">SL PB </t>
  </si>
  <si>
    <t>Giá trị còn lại phải pb</t>
  </si>
  <si>
    <t>Giá trị phải phân bổ</t>
  </si>
  <si>
    <t>ĐT: 08.3866.3582</t>
  </si>
  <si>
    <t>Kế toán</t>
  </si>
  <si>
    <t>Võ Thị Hồng Huệ</t>
  </si>
  <si>
    <t>Ổ Cứng 8T WESTERN</t>
  </si>
  <si>
    <t>Switch 16 port CISCO CBS110-16T-EU</t>
  </si>
  <si>
    <t>Tủ mạng rack 10U</t>
  </si>
  <si>
    <t>Ống điện phi 20</t>
  </si>
  <si>
    <t>Màn hình quan sát SamSung 43inch</t>
  </si>
  <si>
    <t>PHÂN TÍCH LÃI LỖ HỆ THỐNG 127 CAMERA SUNRISE LÔ E</t>
  </si>
  <si>
    <t>Tủ mạng rack 6U</t>
  </si>
  <si>
    <t>Tủ mạng rack 42U</t>
  </si>
  <si>
    <t>Switch Hikvision POE 24 cổng DS-3E1326P-EI</t>
  </si>
  <si>
    <t xml:space="preserve">ODF 12 FO </t>
  </si>
  <si>
    <t>Nguồn lưu điện 1K2VA UPS</t>
  </si>
  <si>
    <t xml:space="preserve">Nguồn lưu điện 3KVA UPS </t>
  </si>
  <si>
    <t>II</t>
  </si>
  <si>
    <t>HẠNG MỤC TRUYỀN DẪN</t>
  </si>
  <si>
    <t>IV. VẬT TƯ PHỤ</t>
  </si>
  <si>
    <t>Đầu ghi hình camera IP 32 kênh HIKVISION DS-7732NXI-K4</t>
  </si>
  <si>
    <t>Nguồn lưu điện 2KVA  UPS</t>
  </si>
  <si>
    <t>GIÁ NHẬP</t>
  </si>
  <si>
    <t>GIÁ BÁN</t>
  </si>
  <si>
    <r>
      <rPr>
        <b/>
        <sz val="30"/>
        <color rgb="FF002060"/>
        <rFont val="Times New Roman"/>
        <family val="1"/>
      </rPr>
      <t xml:space="preserve">CÔNG TY CỔ PHẦN ĐẦU TƯ VÀ XÂY DỰNG </t>
    </r>
    <r>
      <rPr>
        <b/>
        <sz val="30"/>
        <rFont val="Times New Roman"/>
        <family val="1"/>
      </rPr>
      <t xml:space="preserve">
</t>
    </r>
    <r>
      <rPr>
        <b/>
        <sz val="30"/>
        <color indexed="10"/>
        <rFont val="Times New Roman"/>
        <family val="1"/>
      </rPr>
      <t>THIÊN SỨ</t>
    </r>
  </si>
  <si>
    <t>72-74 Phổ Quang, Phường 2, Q.Tân Bình, Tp.HCM</t>
  </si>
  <si>
    <t xml:space="preserve">Mr Truân - 0938 916 602 </t>
  </si>
  <si>
    <t>Vật tư</t>
  </si>
  <si>
    <t>Mô tả</t>
  </si>
  <si>
    <t>Đơn vị</t>
  </si>
  <si>
    <t>Số lượng</t>
  </si>
  <si>
    <t>Đơn giá</t>
  </si>
  <si>
    <t>Ghi chú</t>
  </si>
  <si>
    <t>I. HẠNG MỤC VẬT TƯ CHÍNH VÀ GIÁM SÁT VÀ ĐỊNH TUYẾN</t>
  </si>
  <si>
    <t>II. HẠNG MỤC TRUYỀN DẪN</t>
  </si>
  <si>
    <t>III. HẠNG MỤC ĐIỆN</t>
  </si>
  <si>
    <t>IV. HẠNG MỤC NGUỒN DỰ PHÒNG</t>
  </si>
  <si>
    <t>Bao gồm ống điện, ruột gà, vít, tacke</t>
  </si>
  <si>
    <t>V. CHI PHÍ LẮP ĐẶT</t>
  </si>
  <si>
    <t>Chi phí lắp đặt</t>
  </si>
  <si>
    <t>Thi công trọn gói và hướng dẫn vận hành</t>
  </si>
  <si>
    <t xml:space="preserve">TỔNG GIÁ TRỊ CHƯA VAT </t>
  </si>
  <si>
    <t xml:space="preserve">TỔNG GIÁ TRỊ BÁO GIÁ ĐÃ VAT </t>
  </si>
  <si>
    <t>Bảo hành thiết bị 12 tháng</t>
  </si>
  <si>
    <r>
      <t xml:space="preserve">Thông tin tài khoản: </t>
    </r>
    <r>
      <rPr>
        <b/>
        <sz val="28"/>
        <rFont val="Times New Roman"/>
        <family val="1"/>
      </rPr>
      <t xml:space="preserve">
</t>
    </r>
  </si>
  <si>
    <t>- Số tài khoản:  98686898 - Ngân Hàng TMCP Á Châu - Chi nhánh Tp. Hồ Chí Minh.</t>
  </si>
  <si>
    <t>Nhân công thi công</t>
  </si>
  <si>
    <t>Nhân công giám sát</t>
  </si>
  <si>
    <t>Công báo giá, hồ sơ thầu</t>
  </si>
  <si>
    <t>Chi phí cơm</t>
  </si>
  <si>
    <t>Chi phí nước</t>
  </si>
  <si>
    <t>Ngày</t>
  </si>
  <si>
    <t>Lợi nhuận</t>
  </si>
  <si>
    <t>Chi phí bảo hiểm công cộng  (0.1% DT)</t>
  </si>
  <si>
    <t>Chi phí bão lãnh thực hiện Hợp đồng (200tr)</t>
  </si>
  <si>
    <t>Chi phí khác</t>
  </si>
  <si>
    <t>Chi phí Lobby 1 (3% doanh thu)</t>
  </si>
  <si>
    <t>Chi phí Lobby 2</t>
  </si>
  <si>
    <t>Chi phí Lobby 3</t>
  </si>
  <si>
    <t>LN trước thuế + trước lãi (EBIT) 
( Đã trừ chi phí lobby)</t>
  </si>
  <si>
    <t>LN trước thuế (EBT)  (4)-(3)</t>
  </si>
  <si>
    <t>Thuế TNDN 20%
 ( Đã bao gồm 20% TNDN của chi phí Lobby)</t>
  </si>
  <si>
    <t>LN sau thuế</t>
  </si>
  <si>
    <t>Kiểm Soát</t>
  </si>
  <si>
    <t>Kinh Doanh</t>
  </si>
  <si>
    <t>Dương Truân</t>
  </si>
  <si>
    <t>CP Bảo lãnh khác</t>
  </si>
  <si>
    <t>Công thiết kế, khảo sát</t>
  </si>
  <si>
    <t>Camera IP Dome 2MP HIKVISION
DS-2CD1121G0-I</t>
  </si>
  <si>
    <t>Camera IP thân 2MP HIKVISION 
DS-2CD1021G0-I</t>
  </si>
  <si>
    <t xml:space="preserve">Cáp quang 4FO </t>
  </si>
  <si>
    <t>Cáp mạng Cat5E</t>
  </si>
  <si>
    <t>Dây điện CVV 2x2.5</t>
  </si>
  <si>
    <t>Thanh nguồn PDU đa năng 6 ổ cắm 3 chấu chuẩn 19"</t>
  </si>
  <si>
    <t xml:space="preserve">Vật tư phụ </t>
  </si>
  <si>
    <t>Dây nhảy quang SC-UPC/SC-UPC (3 Mét)</t>
  </si>
  <si>
    <t xml:space="preserve">Ruột gà phi 20 </t>
  </si>
  <si>
    <t>Bộ</t>
  </si>
  <si>
    <r>
      <t xml:space="preserve">- Cảm biến ảnh: CMOS 1/2.9″ 2.0megapixel
- Chuẩn nén H.265+/ H.265/ H.264+/ H.264
- Độ phân giải 1920×1080
- Tính năng lọc hồng ngoại ICR, 0lux với hồng ngoại
- Ống kính 2.8mm
</t>
    </r>
    <r>
      <rPr>
        <b/>
        <sz val="24"/>
        <color theme="1"/>
        <rFont val="Times New Roman"/>
        <family val="1"/>
      </rPr>
      <t>- Công suất : 6.5W</t>
    </r>
  </si>
  <si>
    <t>Switch Hikvision POE 16 cổng DS-3E1318P-EI</t>
  </si>
  <si>
    <r>
      <t xml:space="preserve">– Chuẩn nén H.265+/H.265/H.264+/H.264
– Hỗ trợ độ phân giải ghi hình lên đến 12MP
– Băng thông đầu vào 256Mbps
– Băng thông đầu ra 160Mbps
– Hỗ trợ 4 ổ cứng, dung lượng tối đa mỗi ổ 10TB
</t>
    </r>
    <r>
      <rPr>
        <b/>
        <sz val="24"/>
        <color theme="1"/>
        <rFont val="Times New Roman"/>
        <family val="1"/>
      </rPr>
      <t>- Công suất 20W</t>
    </r>
  </si>
  <si>
    <r>
      <t xml:space="preserve">- Ổ cứng HDD chuyên nghiệp cho camera.
- Dung lượng: 8TB
- Kết nối: SATA III
- Cache: 256MB
</t>
    </r>
    <r>
      <rPr>
        <b/>
        <sz val="24"/>
        <color theme="1"/>
        <rFont val="Times New Roman"/>
        <family val="1"/>
      </rPr>
      <t>- Công suất : 5.3W</t>
    </r>
  </si>
  <si>
    <r>
      <t xml:space="preserve">- Hỗ trợ 24 × 100Mbps PoE RJ45 ports, 2 × gigabit combos.
- Cổng ưu tiên: Cổng 1 - 8.
- Bảng địa chỉ MAC: 16K.
- Khả năng chuyển mạch 8.8Gbps.
- Tốc độ chuyển tiếp gói tin: 6.5472Mpps.
- Truyền dẫn khoảng cách xa: Tối đa 300m ở chế độ mở rộng (cổng 1 – 24).
- Tương thích chuẩn IEEE 802.3af/at.
</t>
    </r>
    <r>
      <rPr>
        <b/>
        <sz val="24"/>
        <color theme="1"/>
        <rFont val="Times New Roman"/>
        <family val="1"/>
      </rPr>
      <t>- Công suất PoE: 370W.</t>
    </r>
  </si>
  <si>
    <r>
      <t xml:space="preserve">-Switch mạng thông minh 16 cổng PoE.
-Hỗ trợ tính năng cấu hình quản lý bằng phần mềm.
-16 cổng PoE RJ45 100Mbps, 2 cổng RJ45 Gigabit, 2 cổng quang
-Tự tương thích chuẩn IEEE 802.3af/at.
</t>
    </r>
    <r>
      <rPr>
        <b/>
        <sz val="24"/>
        <color theme="1"/>
        <rFont val="Times New Roman"/>
        <family val="1"/>
      </rPr>
      <t>- Công suất PoE 230W.</t>
    </r>
  </si>
  <si>
    <r>
      <rPr>
        <b/>
        <i/>
        <u/>
        <sz val="30"/>
        <rFont val="Times New Roman"/>
        <family val="1"/>
      </rPr>
      <t>Hạng mục</t>
    </r>
    <r>
      <rPr>
        <b/>
        <i/>
        <sz val="30"/>
        <rFont val="Times New Roman"/>
        <family val="1"/>
      </rPr>
      <t>:</t>
    </r>
    <r>
      <rPr>
        <i/>
        <sz val="30"/>
        <rFont val="Times New Roman"/>
        <family val="1"/>
      </rPr>
      <t xml:space="preserve"> </t>
    </r>
    <r>
      <rPr>
        <b/>
        <i/>
        <sz val="30"/>
        <rFont val="Times New Roman"/>
        <family val="1"/>
      </rPr>
      <t>Cung cấp thiết bị và lắp đặt hệ thống 127camera</t>
    </r>
  </si>
  <si>
    <r>
      <t>Kính gửi</t>
    </r>
    <r>
      <rPr>
        <b/>
        <i/>
        <sz val="30"/>
        <rFont val="Times New Roman"/>
        <family val="1"/>
      </rPr>
      <t>: Ban quản lý dự án Sunrise Riverside lô E</t>
    </r>
  </si>
  <si>
    <r>
      <rPr>
        <b/>
        <i/>
        <u/>
        <sz val="30"/>
        <rFont val="Times New Roman"/>
        <family val="1"/>
      </rPr>
      <t xml:space="preserve">Địa chỉ </t>
    </r>
    <r>
      <rPr>
        <sz val="30"/>
        <rFont val="Times New Roman"/>
        <family val="1"/>
      </rPr>
      <t>:</t>
    </r>
    <r>
      <rPr>
        <b/>
        <i/>
        <sz val="30"/>
        <rFont val="Times New Roman"/>
        <family val="1"/>
      </rPr>
      <t>Xã Phước Kiển, Huyện Nhà bè, Tp.HCM</t>
    </r>
  </si>
  <si>
    <r>
      <rPr>
        <b/>
        <i/>
        <u/>
        <sz val="30"/>
        <rFont val="Times New Roman"/>
        <family val="1"/>
      </rPr>
      <t>Đại diện</t>
    </r>
    <r>
      <rPr>
        <i/>
        <sz val="30"/>
        <rFont val="Times New Roman"/>
        <family val="1"/>
      </rPr>
      <t xml:space="preserve">: </t>
    </r>
    <r>
      <rPr>
        <b/>
        <i/>
        <sz val="30"/>
        <rFont val="Times New Roman"/>
        <family val="1"/>
      </rPr>
      <t>Khách hàng</t>
    </r>
  </si>
  <si>
    <r>
      <t xml:space="preserve">BẢNG CHÀO GIÁ
</t>
    </r>
    <r>
      <rPr>
        <sz val="30"/>
        <color rgb="FF002060"/>
        <rFont val="Times New Roman"/>
        <family val="1"/>
      </rPr>
      <t xml:space="preserve">(Số: 92.2025/BG-TSI-SRR.E) </t>
    </r>
  </si>
  <si>
    <t>PHÒNG KINH DOANH</t>
  </si>
  <si>
    <r>
      <t xml:space="preserve">- Hỗ trợ 16 cổng Gigabit Ethernet RJ-45
</t>
    </r>
    <r>
      <rPr>
        <b/>
        <sz val="24"/>
        <color theme="1"/>
        <rFont val="Times New Roman"/>
        <family val="1"/>
      </rPr>
      <t>- Công suất : 9.96W</t>
    </r>
  </si>
  <si>
    <t>Màn hình quan sát 43 inch SamSung+ khung kệ + HDMI</t>
  </si>
  <si>
    <t>Tp.HCM, Ngày     tháng      năm 2025</t>
  </si>
  <si>
    <t>Đại diện đơn vị báo giá</t>
  </si>
  <si>
    <t>Đại diện Khách hàng</t>
  </si>
  <si>
    <t>Tp.HCM, Ngày          tháng          năm 2025</t>
  </si>
  <si>
    <r>
      <rPr>
        <b/>
        <sz val="24"/>
        <color theme="1"/>
        <rFont val="Times New Roman"/>
        <family val="1"/>
      </rPr>
      <t>Camera IP Dome 2MP</t>
    </r>
    <r>
      <rPr>
        <sz val="24"/>
        <color theme="1"/>
        <rFont val="Times New Roman"/>
        <family val="1"/>
      </rPr>
      <t xml:space="preserve">
- Cảm biến ảnh: CMOS 1/2.9″ 2.0megapixel
- Chuẩn nén H.265+/ H.265/ H.264+/ H.264
- Độ phân giải 1920×1080
- Tính năng lọc hồng ngoại ICR, 0lux với hồng ngoại
- Ống kính 2.8mm
- Công suất : 6.5W</t>
    </r>
  </si>
  <si>
    <t>Camera IP thân 2MP
'- Cảm biến ảnh: CMOS 1/2.9″ 2.0megapixel
- Chuẩn nén H.265+/ H.265/ H.264+/ H.264
- Độ phân giải 1920×1080
- Tính năng lọc hồng ngoại ICR, 0lux với hồng ngoại
- Ống kính 2.8mm
- Công suất : 6.5W</t>
  </si>
  <si>
    <t>Đầu ghi hình camera IP 32 kênh
'– Chuẩn nén H.265+/H.265/H.264+/H.264
– Hỗ trợ độ phân giải ghi hình lên đến 12MP
– Băng thông đầu vào 256Mbps
– Băng thông đầu ra 160Mbps
– Hỗ trợ 4 ổ cứng, dung lượng tối đa mỗi ổ 10TB
- Công suất 20W</t>
  </si>
  <si>
    <t>- Ổ cứng 8TB HDD chuyên nghiệp cho camera.
- Dung lượng: 8TB
- Kết nối: SATA III
- Cache: 256MB
- Công suất : 5.3W</t>
  </si>
  <si>
    <t>Swtich POE 24 cổng
- Hỗ trợ 24 × 100Mbps PoE RJ45 ports, 2 × gigabit combos.
- Cổng ưu tiên: Cổng 1 - 8.
- Bảng địa chỉ MAC: 16K.
- Khả năng chuyển mạch 8.8Gbps.
- Tốc độ chuyển tiếp gói tin: 6.5472Mpps.
- Tương thích chuẩn IEEE 802.3af/at.
- Công suất PoE: 370W.</t>
  </si>
  <si>
    <t>- Switch mạng thông minh 16 cổng PoE.
- Hỗ trợ tính năng cấu hình quản lý bằng phần mềm.
-16 cổng PoE RJ45 100Mbps, 2 cổng RJ45 Gigabit, 2 cổng quang
-Tự tương thích chuẩn IEEE 802.3af/at.
- Công suất PoE 230W.</t>
  </si>
  <si>
    <t>Switch 16 port
- Hỗ trợ 16 cổng Gigabit Ethernet RJ-45
- Công suất : 9.96W</t>
  </si>
  <si>
    <t>III .</t>
  </si>
  <si>
    <t xml:space="preserve">HẠNG MỤC ĐIỆN </t>
  </si>
  <si>
    <t>IV .</t>
  </si>
  <si>
    <t>HẠNG MỤC ĐIỆN DỰ PHÒNG</t>
  </si>
  <si>
    <t xml:space="preserve">V. </t>
  </si>
  <si>
    <t>NHÂN CÔNG</t>
  </si>
  <si>
    <r>
      <t xml:space="preserve">Lãi suất vay </t>
    </r>
    <r>
      <rPr>
        <b/>
        <sz val="20"/>
        <rFont val="Times New Roman"/>
        <family val="1"/>
      </rPr>
      <t>(%/năm)</t>
    </r>
  </si>
  <si>
    <r>
      <rPr>
        <b/>
        <i/>
        <sz val="20"/>
        <color rgb="FFC00000"/>
        <rFont val="Times New Roman"/>
        <family val="1"/>
      </rPr>
      <t>Vòng đời vốn</t>
    </r>
    <r>
      <rPr>
        <b/>
        <i/>
        <sz val="20"/>
        <color indexed="8"/>
        <rFont val="Times New Roman"/>
        <family val="1"/>
      </rPr>
      <t xml:space="preserve"> (tháng)</t>
    </r>
  </si>
  <si>
    <r>
      <t xml:space="preserve">Thời gian Bảo lãnh Bảo hành </t>
    </r>
    <r>
      <rPr>
        <b/>
        <sz val="20"/>
        <rFont val="Times New Roman"/>
        <family val="1"/>
      </rPr>
      <t>(tháng)</t>
    </r>
  </si>
  <si>
    <t>NỘI DUNG BÁO GIÁ</t>
  </si>
  <si>
    <t>CHI PHÍ ĐẦU TƯ CHƯA VAT</t>
  </si>
  <si>
    <t>DOANH THU CHƯA VAT</t>
  </si>
  <si>
    <t>CP HỖ TRỢ</t>
  </si>
  <si>
    <t>LN RÒNG</t>
  </si>
  <si>
    <t>LN RÒNG/
CPĐT</t>
  </si>
  <si>
    <t>LN RÒNG/
DT</t>
  </si>
  <si>
    <t>BQL</t>
  </si>
  <si>
    <t>BQT (3%)</t>
  </si>
  <si>
    <t xml:space="preserve">TỔNG CP HỖ TRỢ </t>
  </si>
  <si>
    <t>VẬT TƯ</t>
  </si>
  <si>
    <t xml:space="preserve">TỔNG CHI PHÍ </t>
  </si>
  <si>
    <t>TỔNG DOANH THU</t>
  </si>
  <si>
    <t>KST</t>
  </si>
  <si>
    <t>PM</t>
  </si>
  <si>
    <t>KT</t>
  </si>
  <si>
    <t>TỔNG CHI PHÍ BQL</t>
  </si>
  <si>
    <t xml:space="preserve">                                                                    </t>
  </si>
  <si>
    <t>Giám đốc</t>
  </si>
  <si>
    <t>Nguyễn Hữu Ngọc</t>
  </si>
  <si>
    <t>Báo giá thi công 127 Camera</t>
  </si>
  <si>
    <t>Thi công 39 ngày</t>
  </si>
  <si>
    <t>TÓM TẮT BÁO GIÁ CUNG CẤP VÀ LẮP ĐẶT THIẾT BỊ HỆ THỐNG 127 CAMERA 
DỰ ÁN SUNRISE RIVERSDIE LÔ E</t>
  </si>
  <si>
    <t>THÔNG TIN KHÁCH HÀNG</t>
  </si>
  <si>
    <t>THƯ BÁO GIÁ</t>
  </si>
  <si>
    <t>Kính gửi:</t>
  </si>
  <si>
    <t>Ban quản lý dự án Sunrise Riverside Lô E</t>
  </si>
  <si>
    <t>Công ty:</t>
  </si>
  <si>
    <t>Ngày báo giá:</t>
  </si>
  <si>
    <t>Điện thoại:</t>
  </si>
  <si>
    <t>Giá trị đến:</t>
  </si>
  <si>
    <t>Thông tin dự án:</t>
  </si>
  <si>
    <t>Xã Phước Kiển, Huyện Nhà Bè, Tp. Hồ Chí Minh</t>
  </si>
  <si>
    <t>Nhân viên:</t>
  </si>
  <si>
    <t>Cám ơn Quý khách hàng đã quan tâm đến sản phẩm của công ty chúng tôi, theo yêu cầu của Quý khách chúng tôi trân trọng trình bảng báo giá như sau:</t>
  </si>
  <si>
    <t>TÊN HÀNG/MÔ TẢ</t>
  </si>
  <si>
    <t>ĐVT</t>
  </si>
  <si>
    <t>ĐƠN GIÁ</t>
  </si>
  <si>
    <t>I. THIẾT BỊ PHẦN CỨNG</t>
  </si>
  <si>
    <t>Sợi</t>
  </si>
  <si>
    <t>II. CHI PHÍ LẮP ĐẶT</t>
  </si>
  <si>
    <t>CỘNG CHƯA VAT (VNĐ):</t>
  </si>
  <si>
    <t>10% VAT (VNĐ):</t>
  </si>
  <si>
    <t>TỔNG CỘNG BAO GỒM VAT (VNĐ):</t>
  </si>
  <si>
    <t>Bằng chữ:</t>
  </si>
  <si>
    <t>Điều khoản thương mại:</t>
  </si>
  <si>
    <t>-Tạm ứng 50%, 50% còn lại thanh toán ngay sau khi giao hàng
- Hình thức thanh toán bằng chuyển khoản.</t>
  </si>
  <si>
    <r>
      <t xml:space="preserve">- Sản phẩm, hàng hóa do bên công ty Lovad cung cấp tại thị trường Việt Nam có nguồn gốc và xuất xứ rõ ràng, mới 100%, nguyên đai, nguyên kiện, đảm bảo đúng theo tiêu chuẩn của nhà sản xuất.
- Sản phẩm, hàng hóa được bảo hành 12 tháng.
- Sản phẩm, hàng hóa được bảo hành khi xảy ra những lỗi kỹ thuật do nhà sản xuất. Các yếu tố ngoại quan như trường hợp do sét đánh, sử dụng điện áp sai quy định, cháy nổ IC, có dấu hiệu rơi vỡ...vv, Lovad sẽ không thực hiện chế độ bảo hành sản phẩm như trên.
- Phần mềm chỉ được </t>
    </r>
    <r>
      <rPr>
        <b/>
        <sz val="9"/>
        <color theme="1"/>
        <rFont val="Times New Roman"/>
        <family val="1"/>
      </rPr>
      <t>cấp lại license miễn phí khi thỏa một trong các điều kiện</t>
    </r>
    <r>
      <rPr>
        <sz val="9"/>
        <color theme="1"/>
        <rFont val="Times New Roman"/>
        <family val="1"/>
      </rPr>
      <t xml:space="preserve"> sau:
</t>
    </r>
    <r>
      <rPr>
        <b/>
        <i/>
        <sz val="9"/>
        <rFont val="Times New Roman"/>
        <family val="1"/>
      </rPr>
      <t>1) Đổi máy tính mới khi máy tính cũ vẫn còn hoạt động bình thường;
2) Thay đổi linh kiện máy tính phải giữ lại ít nhất 1 trong các linh kiện sau: ổ cứng, mainboard, chipset CPU;
3) Dùng dịch vụ bảo trì hàng năm do LOVAD cung cấp.</t>
    </r>
    <r>
      <rPr>
        <sz val="9"/>
        <color theme="1"/>
        <rFont val="Times New Roman"/>
        <family val="1"/>
      </rPr>
      <t xml:space="preserve">
- Nâng cấp từ phần mềm bản thấp lên bản cao, tính phí 65% license bản cao hơn.</t>
    </r>
  </si>
  <si>
    <t>Chân thành cảm ơn &amp; Trân trọng kính chào!</t>
  </si>
  <si>
    <t>BẢNG CHÀO GIÁ</t>
  </si>
  <si>
    <t>Công suất</t>
  </si>
  <si>
    <t>6.5W</t>
  </si>
  <si>
    <t>Camera IP Dome 2MP
- Cảm biến ảnh: CMOS 1/2.9″ 2.0megapixel
- Chuẩn nén H.265+/ H.265/ H.264+/ H.264
- Độ phân giải 1920×1080
- Tính năng lọc hồng ngoại ICR, 0lux với hồng ngoại
- Ống kính 2.8mm</t>
  </si>
  <si>
    <t>Swtich POE 24 cổng
- Hỗ trợ 24 × 100Mbps PoE RJ45 ports, 2 × gigabit combos.
- Cổng ưu tiên: Cổng 1 - 8.
- Bảng địa chỉ MAC: 16K.
- Khả năng chuyển mạch 8.8Gbps.
- Tốc độ chuyển tiếp gói tin: 6.5472Mpps.
- Tương thích chuẩn IEEE 802.3af/at.</t>
  </si>
  <si>
    <t>- Switch mạng thông minh 16 cổng PoE.
- Hỗ trợ tính năng cấu hình quản lý bằng phần mềm.
-16 cổng PoE RJ45 100Mbps, 2 cổng RJ45 Gigabit, 2 cổng quang
-Tự tương thích chuẩn IEEE 802.3af/at.</t>
  </si>
  <si>
    <t>Switch 16 port
- Hỗ trợ 16 cổng Gigabit Ethernet RJ-45</t>
  </si>
  <si>
    <t>20W</t>
  </si>
  <si>
    <t>5.3W</t>
  </si>
  <si>
    <t>370W</t>
  </si>
  <si>
    <t>230W</t>
  </si>
  <si>
    <t>9.96W</t>
  </si>
  <si>
    <t>I. VẬT TƯ THIẾT BỊ CHÍNH</t>
  </si>
  <si>
    <t>Camera IP thân 2MP
- Cảm biến ảnh: CMOS 1/2.9″ 2.0megapixel
- Chuẩn nén H.265+/ H.265/ H.264+/ H.264
- Độ phân giải 1920×1080
- Tính năng lọc hồng ngoại ICR, 0lux với hồng ngoại
- Ống kính 2.8mm</t>
  </si>
  <si>
    <t>Đầu ghi hình camera IP 32 kênh
– Chuẩn nén H.265+/H.265/H.264+/H.264
– Hỗ trợ độ phân giải ghi hình lên đến 12MP
– Băng thông đầu vào 256Mbps
– Băng thông đầu ra 160Mbps
– Hỗ trợ 4 ổ cứng, dung lượng tối đa mỗi ổ 10TB</t>
  </si>
  <si>
    <t>V. VẬT TƯ PHỤ</t>
  </si>
  <si>
    <t>VI. CHI PHÍ LẮP ĐẶT</t>
  </si>
  <si>
    <t>II. HẠNG MỤC TRUYỀN DẪN VÀ ĐIỆN</t>
  </si>
  <si>
    <t>III. HẠNG MỤC NGUỒN DỰ PHÒNG</t>
  </si>
  <si>
    <t>Vật tư phụ (Bao gồm ống điện, ruột gà, vít, tacke...)</t>
  </si>
  <si>
    <t>- Ổ cứng 8TB HDD chuyên nghiệp cho camera.
- Dung lượng: 8TB
- Kết nối: SATA III
- Cache: 256MB</t>
  </si>
  <si>
    <r>
      <t>Kính gửi</t>
    </r>
    <r>
      <rPr>
        <b/>
        <i/>
        <sz val="13"/>
        <rFont val="Times New Roman"/>
        <family val="1"/>
      </rPr>
      <t>: Ban quản lý dự án Sunrise Riverside lô E</t>
    </r>
  </si>
  <si>
    <r>
      <rPr>
        <b/>
        <i/>
        <u/>
        <sz val="13"/>
        <rFont val="Times New Roman"/>
        <family val="1"/>
      </rPr>
      <t xml:space="preserve">Địa chỉ </t>
    </r>
    <r>
      <rPr>
        <sz val="13"/>
        <rFont val="Times New Roman"/>
        <family val="1"/>
      </rPr>
      <t>:</t>
    </r>
    <r>
      <rPr>
        <b/>
        <i/>
        <sz val="13"/>
        <rFont val="Times New Roman"/>
        <family val="1"/>
      </rPr>
      <t>Xã Phước Kiển, Huyện Nhà bè, Tp.HCM</t>
    </r>
  </si>
  <si>
    <t>Chi phí lắp đặt (Thi công trọn gói và hướng dẫn vận hành)</t>
  </si>
  <si>
    <r>
      <rPr>
        <b/>
        <i/>
        <u/>
        <sz val="13"/>
        <rFont val="Times New Roman"/>
        <family val="1"/>
      </rPr>
      <t>Hạng mục</t>
    </r>
    <r>
      <rPr>
        <b/>
        <i/>
        <sz val="13"/>
        <rFont val="Times New Roman"/>
        <family val="1"/>
      </rPr>
      <t>:</t>
    </r>
    <r>
      <rPr>
        <i/>
        <sz val="13"/>
        <rFont val="Times New Roman"/>
        <family val="1"/>
      </rPr>
      <t xml:space="preserve"> </t>
    </r>
    <r>
      <rPr>
        <b/>
        <i/>
        <sz val="13"/>
        <rFont val="Times New Roman"/>
        <family val="1"/>
      </rPr>
      <t xml:space="preserve">Hệ thống 127 Camera </t>
    </r>
  </si>
  <si>
    <t>Bảo hành hệ thống 12 tháng</t>
  </si>
  <si>
    <t>LỢI NHUẬN</t>
  </si>
  <si>
    <t xml:space="preserve">b) Thời hạn thanh toán: Sẽ thỏa thuận sau khi chốt báo giá </t>
  </si>
  <si>
    <t>Nguyễn Thị Trà Giang</t>
  </si>
  <si>
    <t>Nguyễn Thị Lý</t>
  </si>
  <si>
    <t>Nguyễn Quang Tuấn</t>
  </si>
  <si>
    <t>Kế Toán</t>
  </si>
  <si>
    <t xml:space="preserve"> 070 234 2009</t>
  </si>
  <si>
    <t>72-74 Phổ Quang, P. Tân Sơn Hòa, Tp.HCM</t>
  </si>
  <si>
    <t xml:space="preserve">            Tp.HCM, Ngày          tháng          năm 2025</t>
  </si>
  <si>
    <t xml:space="preserve">                 Đại diện Khách hàng</t>
  </si>
  <si>
    <t xml:space="preserve">Thời gian thi công: Sẽ thỏa thuận sau khi chốt báo giá </t>
  </si>
  <si>
    <t>MÔ TẢ</t>
  </si>
  <si>
    <t>ĐƠN GIÁ
(VNĐ)</t>
  </si>
  <si>
    <t>THÀNH TIỀN
(VNĐ)</t>
  </si>
  <si>
    <t>Kinh Doạnh</t>
  </si>
  <si>
    <t>NGÀY BÁO GIÁ</t>
  </si>
  <si>
    <t>19/09/2025</t>
  </si>
  <si>
    <t>PHÂN TÍCH LÃI LỖ HỆ THỐNG 132 CAMERA SUNRISE CITY LÔ E</t>
  </si>
  <si>
    <t>Công bảo hành</t>
  </si>
  <si>
    <r>
      <t xml:space="preserve">BẢNG CHÀO GIÁ
</t>
    </r>
    <r>
      <rPr>
        <sz val="30"/>
        <color rgb="FF002060"/>
        <rFont val="Times New Roman"/>
        <family val="1"/>
      </rPr>
      <t xml:space="preserve">(Số: 157.2025/BG-TSI-SRR.E) </t>
    </r>
  </si>
  <si>
    <r>
      <rPr>
        <b/>
        <i/>
        <u/>
        <sz val="30"/>
        <rFont val="Times New Roman"/>
        <family val="1"/>
      </rPr>
      <t>Hạng mục</t>
    </r>
    <r>
      <rPr>
        <b/>
        <i/>
        <sz val="30"/>
        <rFont val="Times New Roman"/>
        <family val="1"/>
      </rPr>
      <t>:</t>
    </r>
    <r>
      <rPr>
        <i/>
        <sz val="30"/>
        <rFont val="Times New Roman"/>
        <family val="1"/>
      </rPr>
      <t xml:space="preserve"> </t>
    </r>
    <r>
      <rPr>
        <b/>
        <i/>
        <sz val="30"/>
        <rFont val="Times New Roman"/>
        <family val="1"/>
      </rPr>
      <t>Cung cấp thiết bị và lắp đặt hệ thống 132 camera</t>
    </r>
  </si>
  <si>
    <t>26/09/2025</t>
  </si>
  <si>
    <t>Báo giá thi công 132 Camera</t>
  </si>
  <si>
    <t>Chênh lệch báo giá đợt (3)-(2)</t>
  </si>
  <si>
    <t>SW 24</t>
  </si>
  <si>
    <t>SW16</t>
  </si>
  <si>
    <t>B1</t>
  </si>
  <si>
    <t>B2</t>
  </si>
  <si>
    <t>TU 10U</t>
  </si>
  <si>
    <t>Camera DOME</t>
  </si>
  <si>
    <t>CAMERA THAN</t>
  </si>
  <si>
    <t>CAM</t>
  </si>
  <si>
    <t>TANG</t>
  </si>
  <si>
    <t>CAM VỀ TỦ</t>
  </si>
  <si>
    <t>PDU</t>
  </si>
  <si>
    <t>Converter</t>
  </si>
  <si>
    <t>THÁP K</t>
  </si>
  <si>
    <t>TỔNG CAMERA</t>
  </si>
  <si>
    <t>Camera Thân</t>
  </si>
  <si>
    <t>Camera Dome</t>
  </si>
  <si>
    <t>SWPOE 24</t>
  </si>
  <si>
    <t>SWPOE 16</t>
  </si>
  <si>
    <t>SW GIGA 16PORT</t>
  </si>
  <si>
    <t>TỦ 10U</t>
  </si>
  <si>
    <t>UPS 630</t>
  </si>
  <si>
    <t>Đầu ghi</t>
  </si>
  <si>
    <t>Ổ Cứng 10T WESTERN</t>
  </si>
  <si>
    <t>Nguồn lưu điện UPS ARES Model AR610 1000VA/800W</t>
  </si>
  <si>
    <t>Nguồn lưu điện UPS ARES Model AR630 3000VA-2400W</t>
  </si>
  <si>
    <t>UPS AR610 1K</t>
  </si>
  <si>
    <t>UPS 610</t>
  </si>
  <si>
    <t>LS/Panduit/Comspose</t>
  </si>
  <si>
    <t>Bộ chuyển đổi quang điện Gigabit GNETCOM 10/100/1000M GNC-2111S-20A/B</t>
  </si>
  <si>
    <t>Tủ mạng rack 10U( Có bánh xe)</t>
  </si>
  <si>
    <t>Thiết lập cấu hình</t>
  </si>
  <si>
    <t>Hồ sơ hướng dẫn</t>
  </si>
  <si>
    <t>Nghiệm thu</t>
  </si>
  <si>
    <t>Bảo hành thiết lập</t>
  </si>
  <si>
    <t>Kiểm thữ T&amp;C</t>
  </si>
  <si>
    <t>Triển khai</t>
  </si>
  <si>
    <t xml:space="preserve">- Ổ cứng HDD chuyên nghiệp cho camera.
- Dung lượng: 10TB
- Kết nối: SATA III
</t>
  </si>
  <si>
    <t xml:space="preserve">- Hỗ trợ 24 × 100Mbps PoE RJ45 ports, 2 × gigabit combos.
- Cổng ưu tiên: Cổng 1 - 8.
- Bảng địa chỉ MAC: 16K.
- Khả năng chuyển mạch 8.8Gbps.
- Tốc độ chuyển tiếp gói tin: 6.5472Mpps.
- Truyền dẫn khoảng cách xa: Tối đa 300m ở chế độ mở rộng (cổng 1 – 24).
- Tương thích chuẩn IEEE 802.3af/at.
</t>
  </si>
  <si>
    <t>-Switch mạng thông minh 16 cổng PoE.
-Hỗ trợ tính năng cấu hình quản lý bằng phần mềm.
-16 cổng PoE RJ45 100Mbps, 2 cổng RJ45 Gigabit, 2 cổng quang
-Tự tương thích chuẩn IEEE 802.3af/at.</t>
  </si>
  <si>
    <t xml:space="preserve">- Hỗ trợ 16 cổng Gigabit Ethernet RJ-45
</t>
  </si>
  <si>
    <t>Bao gồm ống điện, ruột gà, vít, tacke…</t>
  </si>
  <si>
    <t>Nhân công Cấu hình thiết lập</t>
  </si>
  <si>
    <t>- Cảm biến ảnh: CMOS 1/2.9″ 2.0megapixel
- Chuẩn nén H.265+/ H.265/ H.264+/ H.264
- Độ phân giải 1920×1080
- Tính năng lọc hồng ngoại ICR, 0lux với hồng ngoại
- Ống kính 2.8mm</t>
  </si>
  <si>
    <t>– Chuẩn nén H.265+/H.265/H.264+/H.264
– Hỗ trợ độ phân giải ghi hình lên đến 12MP
– Băng thông đầu vào 256Mbps
– Băng thông đầu ra 160Mbps
– Hỗ trợ 4 ổ cứng, dung lượng tối đa mỗi ổ 10TB</t>
  </si>
  <si>
    <t>DƯƠNG QUỐC THƯƠNG</t>
  </si>
  <si>
    <t>Vật tư phụ kết nối</t>
  </si>
  <si>
    <t>Đầu mạng AMP Cat 5</t>
  </si>
  <si>
    <t>Dây nhảy quang SC/UPC SC/UPC 3M</t>
  </si>
  <si>
    <t>Dây nhảy mạng Cat5</t>
  </si>
  <si>
    <t>Dintek/AMP/Panduit</t>
  </si>
  <si>
    <t>Thanh quản lý cáp mạng 19inch</t>
  </si>
  <si>
    <t>Vật tư phụ thi công</t>
  </si>
  <si>
    <t>ODF 4FO SC/UPC - SC/UPC (Full phụ kiện)</t>
  </si>
  <si>
    <t>Dintek/Vietrack/TMC</t>
  </si>
  <si>
    <t>Dự trù Thay đổi cấu hình phát sinh</t>
  </si>
  <si>
    <t>Màn hình quan sát 43 inch SamSung(khung kệ + HDMI (15m))</t>
  </si>
  <si>
    <t>THÁP H</t>
  </si>
  <si>
    <t>ODF 12FO SC/UPC (Full Phụ kiện)</t>
  </si>
  <si>
    <t>MÁI</t>
  </si>
  <si>
    <t>Màn hình quan sát 55 inch SamSung(khung kệ + HDMI (15m))</t>
  </si>
  <si>
    <t>– Chuẩn nén H.265+/H.265/H.264+/H.264
– Hỗ trợ độ phân giải ghi hình lên đến 32MP
– Băng thông đầu vào 400Mbps
– Băng thông đầu ra 400Mbps
– Hỗ trợ 4 ổ cứng, dung lượng tối đa mỗi ổ 16TB</t>
  </si>
  <si>
    <t>5 Ngày hoặc chạy song song với triển khai hạ tầng</t>
  </si>
  <si>
    <t xml:space="preserve">KHỐI LƯỢNG BOQ GÓI 94 CAMERA LÔ G6 </t>
  </si>
  <si>
    <t xml:space="preserve">Tủ mạng rack 42U </t>
  </si>
  <si>
    <t>Tận dụng hiện hữu</t>
  </si>
  <si>
    <t xml:space="preserve">Cáp Lan </t>
  </si>
  <si>
    <t>*</t>
  </si>
  <si>
    <t xml:space="preserve">Cáp Quang </t>
  </si>
  <si>
    <t>1 64</t>
  </si>
  <si>
    <t>1 32</t>
  </si>
  <si>
    <t>Đầu ghi hình camera IP 64 kênh HIKVISION DS-7764NXI-K4</t>
  </si>
  <si>
    <t>Ruột gà</t>
  </si>
  <si>
    <t>Mét</t>
  </si>
  <si>
    <t>Ống phi 20</t>
  </si>
  <si>
    <t>Dự trù 10 triệu chưa bao gồm 1.2.1 và 1.2.2</t>
  </si>
  <si>
    <t>1.2.1</t>
  </si>
  <si>
    <t>1.2.2</t>
  </si>
  <si>
    <t>Nhân công</t>
  </si>
  <si>
    <t>Tổng nhân công</t>
  </si>
  <si>
    <t>Ngày 28 tháng 05 năm 2026</t>
  </si>
  <si>
    <t>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</si>
</sst>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1" formatCode="_(* #,##0_);_(* \(#,##0\);_(* &quot;-&quot;_);_(@_)"/>
    <numFmt numFmtId="43" formatCode="_(* #,##0.00_);_(* \(#,##0.00\);_(* &quot;-&quot;??_);_(@_)"/>
    <numFmt numFmtId="164" formatCode="_(* #,##0_);_(* \(#,##0\);_(* &quot;-&quot;??_);_(@_)"/>
    <numFmt numFmtId="165" formatCode="0.0%"/>
    <numFmt numFmtId="166" formatCode="&quot;Ngày&quot;\ dd&quot;  Tháng&quot;\ mm\ \ &quot;Năm&quot;\ yyyy"/>
    <numFmt numFmtId="167" formatCode="&quot;Ngày&quot;\ dd\ &quot;tháng&quot;\ mm\ &quot;năm&quot;\ yyyy"/>
    <numFmt numFmtId="168" formatCode="_-* #,##0\ _₫_-;\-* #,##0\ _₫_-;_-* &quot;-&quot;??\ _₫_-;_-@_-"/>
    <numFmt numFmtId="169" formatCode="0.0000"/>
  </numFmts>
  <fonts count="95" x14ac:knownFonts="1">
    <font>
      <sz val="11"/>
      <color theme="1"/>
      <name val="Calibri"/>
      <family val="2"/>
      <scheme val="minor"/>
    </font>
    <font>
      <sz val="13"/>
      <color theme="1"/>
      <name val="Times New Roman"/>
      <family val="2"/>
    </font>
    <font>
      <sz val="13"/>
      <color theme="1"/>
      <name val="Times New Roman"/>
      <family val="2"/>
    </font>
    <font>
      <sz val="13"/>
      <color theme="1"/>
      <name val="Times New Roman"/>
      <family val="2"/>
    </font>
    <font>
      <sz val="13"/>
      <color theme="1"/>
      <name val="Times New Roman"/>
      <family val="2"/>
    </font>
    <font>
      <sz val="11"/>
      <color theme="1"/>
      <name val="Calibri"/>
      <family val="2"/>
      <scheme val="minor"/>
    </font>
    <font>
      <sz val="12"/>
      <color theme="1"/>
      <name val="Times New Roman"/>
      <family val="1"/>
    </font>
    <font>
      <u/>
      <sz val="11"/>
      <color theme="10"/>
      <name val="Calibri"/>
      <family val="2"/>
      <scheme val="minor"/>
    </font>
    <font>
      <sz val="11"/>
      <color indexed="8"/>
      <name val="Calibri"/>
      <family val="2"/>
    </font>
    <font>
      <sz val="11"/>
      <color theme="1"/>
      <name val="Times New Roman"/>
      <family val="1"/>
    </font>
    <font>
      <sz val="13"/>
      <color theme="1"/>
      <name val="Calibri"/>
      <family val="2"/>
      <scheme val="minor"/>
    </font>
    <font>
      <sz val="11"/>
      <color indexed="8"/>
      <name val="Arial"/>
      <family val="2"/>
      <charset val="1"/>
    </font>
    <font>
      <sz val="16"/>
      <color theme="1"/>
      <name val="Times New Roman"/>
      <family val="1"/>
    </font>
    <font>
      <sz val="13"/>
      <color theme="1"/>
      <name val="Times New Roman"/>
      <family val="2"/>
    </font>
    <font>
      <sz val="15"/>
      <color theme="1"/>
      <name val="Times New Roman"/>
      <family val="1"/>
    </font>
    <font>
      <sz val="18"/>
      <color theme="1"/>
      <name val="Times New Roman"/>
      <family val="1"/>
    </font>
    <font>
      <u/>
      <sz val="13"/>
      <color theme="10"/>
      <name val="Times New Roman"/>
      <family val="2"/>
    </font>
    <font>
      <sz val="25"/>
      <color theme="1"/>
      <name val="Times New Roman"/>
      <family val="1"/>
    </font>
    <font>
      <sz val="15"/>
      <color theme="1"/>
      <name val="Calibri"/>
      <family val="2"/>
      <scheme val="minor"/>
    </font>
    <font>
      <sz val="17"/>
      <color theme="1"/>
      <name val="Times New Roman"/>
      <family val="1"/>
    </font>
    <font>
      <sz val="16"/>
      <color theme="1"/>
      <name val="Calibri"/>
      <family val="2"/>
      <scheme val="minor"/>
    </font>
    <font>
      <b/>
      <sz val="30"/>
      <color rgb="FF002060"/>
      <name val="Times New Roman"/>
      <family val="1"/>
    </font>
    <font>
      <sz val="30"/>
      <color rgb="FF002060"/>
      <name val="Times New Roman"/>
      <family val="1"/>
    </font>
    <font>
      <b/>
      <sz val="30"/>
      <name val="Times New Roman"/>
      <family val="1"/>
    </font>
    <font>
      <b/>
      <sz val="30"/>
      <color indexed="10"/>
      <name val="Times New Roman"/>
      <family val="1"/>
    </font>
    <font>
      <b/>
      <i/>
      <sz val="30"/>
      <name val="Times New Roman"/>
      <family val="1"/>
    </font>
    <font>
      <b/>
      <i/>
      <u/>
      <sz val="30"/>
      <name val="Times New Roman"/>
      <family val="1"/>
    </font>
    <font>
      <i/>
      <sz val="30"/>
      <name val="Times New Roman"/>
      <family val="1"/>
    </font>
    <font>
      <sz val="30"/>
      <name val="Times New Roman"/>
      <family val="1"/>
    </font>
    <font>
      <b/>
      <i/>
      <sz val="30"/>
      <color theme="1"/>
      <name val="Times New Roman"/>
      <family val="1"/>
    </font>
    <font>
      <u/>
      <sz val="30"/>
      <color theme="10"/>
      <name val="Times New Roman"/>
      <family val="1"/>
    </font>
    <font>
      <u/>
      <sz val="30"/>
      <name val="Times New Roman"/>
      <family val="1"/>
    </font>
    <font>
      <sz val="26"/>
      <color theme="1"/>
      <name val="Times New Roman"/>
      <family val="1"/>
    </font>
    <font>
      <sz val="26"/>
      <name val="Times New Roman"/>
      <family val="1"/>
    </font>
    <font>
      <b/>
      <sz val="26"/>
      <color theme="1"/>
      <name val="Times New Roman"/>
      <family val="1"/>
    </font>
    <font>
      <b/>
      <sz val="24"/>
      <color theme="1"/>
      <name val="Times New Roman"/>
      <family val="1"/>
    </font>
    <font>
      <sz val="24"/>
      <color theme="1"/>
      <name val="Times New Roman"/>
      <family val="1"/>
    </font>
    <font>
      <sz val="22"/>
      <name val="Times New Roman"/>
      <family val="1"/>
    </font>
    <font>
      <b/>
      <sz val="22"/>
      <color theme="1"/>
      <name val="Times New Roman"/>
      <family val="1"/>
    </font>
    <font>
      <b/>
      <sz val="28"/>
      <name val="Times New Roman"/>
      <family val="1"/>
    </font>
    <font>
      <b/>
      <i/>
      <u/>
      <sz val="28"/>
      <name val="Times New Roman"/>
      <family val="1"/>
    </font>
    <font>
      <sz val="28"/>
      <name val="Times New Roman"/>
      <family val="1"/>
    </font>
    <font>
      <i/>
      <sz val="28"/>
      <name val="Times New Roman"/>
      <family val="1"/>
    </font>
    <font>
      <sz val="28"/>
      <color theme="1"/>
      <name val="Times New Roman"/>
      <family val="1"/>
    </font>
    <font>
      <b/>
      <sz val="28"/>
      <color theme="1"/>
      <name val="Times New Roman"/>
      <family val="1"/>
    </font>
    <font>
      <b/>
      <sz val="25"/>
      <color theme="1"/>
      <name val="Times New Roman"/>
      <family val="1"/>
    </font>
    <font>
      <i/>
      <sz val="25"/>
      <color theme="1"/>
      <name val="Times New Roman"/>
      <family val="1"/>
    </font>
    <font>
      <i/>
      <u/>
      <sz val="30"/>
      <name val="Times New Roman"/>
      <family val="1"/>
    </font>
    <font>
      <sz val="22"/>
      <color theme="1"/>
      <name val="Times New Roman"/>
      <family val="1"/>
    </font>
    <font>
      <b/>
      <sz val="13"/>
      <color rgb="FFFF0000"/>
      <name val="Times New Roman"/>
      <family val="1"/>
    </font>
    <font>
      <b/>
      <sz val="13"/>
      <color theme="1"/>
      <name val="Times New Roman"/>
      <family val="1"/>
    </font>
    <font>
      <sz val="13"/>
      <color theme="1"/>
      <name val="Times New Roman"/>
      <family val="1"/>
    </font>
    <font>
      <b/>
      <sz val="20"/>
      <color rgb="FFFF0000"/>
      <name val="Times New Roman"/>
      <family val="1"/>
    </font>
    <font>
      <b/>
      <sz val="28"/>
      <color rgb="FFFF0000"/>
      <name val="Times New Roman"/>
      <family val="1"/>
    </font>
    <font>
      <sz val="20"/>
      <color theme="1"/>
      <name val="Calibri"/>
      <family val="2"/>
      <scheme val="minor"/>
    </font>
    <font>
      <b/>
      <sz val="20"/>
      <color rgb="FFFF0000"/>
      <name val="Calibri"/>
      <family val="2"/>
      <scheme val="minor"/>
    </font>
    <font>
      <b/>
      <sz val="20"/>
      <color theme="1"/>
      <name val="Times New Roman"/>
      <family val="1"/>
    </font>
    <font>
      <b/>
      <sz val="20"/>
      <color theme="1"/>
      <name val="Calibri Light"/>
      <family val="1"/>
      <scheme val="major"/>
    </font>
    <font>
      <sz val="20"/>
      <color rgb="FFFF0000"/>
      <name val="Calibri"/>
      <family val="2"/>
      <scheme val="minor"/>
    </font>
    <font>
      <sz val="20"/>
      <color theme="1"/>
      <name val="Times New Roman"/>
      <family val="1"/>
    </font>
    <font>
      <sz val="20"/>
      <name val="Times New Roman"/>
      <family val="1"/>
    </font>
    <font>
      <sz val="20"/>
      <color rgb="FF202124"/>
      <name val="Times New Roman"/>
      <family val="1"/>
    </font>
    <font>
      <u/>
      <sz val="20"/>
      <color theme="10"/>
      <name val="Calibri"/>
      <family val="2"/>
      <scheme val="minor"/>
    </font>
    <font>
      <b/>
      <sz val="20"/>
      <name val="Times New Roman"/>
      <family val="1"/>
    </font>
    <font>
      <sz val="20"/>
      <color rgb="FFFF0000"/>
      <name val="Times New Roman"/>
      <family val="1"/>
    </font>
    <font>
      <b/>
      <sz val="20"/>
      <color theme="4" tint="-0.499984740745262"/>
      <name val="Times New Roman"/>
      <family val="1"/>
    </font>
    <font>
      <b/>
      <sz val="20"/>
      <color theme="4" tint="-0.249977111117893"/>
      <name val="Times New Roman"/>
      <family val="1"/>
    </font>
    <font>
      <b/>
      <i/>
      <sz val="20"/>
      <color indexed="8"/>
      <name val="Times New Roman"/>
      <family val="1"/>
    </font>
    <font>
      <b/>
      <i/>
      <sz val="20"/>
      <color rgb="FFC00000"/>
      <name val="Times New Roman"/>
      <family val="1"/>
    </font>
    <font>
      <b/>
      <sz val="20"/>
      <color rgb="FF800000"/>
      <name val="Times New Roman"/>
      <family val="1"/>
    </font>
    <font>
      <b/>
      <sz val="20"/>
      <color indexed="8"/>
      <name val="Times New Roman"/>
      <family val="1"/>
    </font>
    <font>
      <i/>
      <sz val="20"/>
      <color indexed="8"/>
      <name val="Times New Roman"/>
      <family val="1"/>
    </font>
    <font>
      <b/>
      <i/>
      <sz val="20"/>
      <color theme="1"/>
      <name val="Times New Roman"/>
      <family val="1"/>
    </font>
    <font>
      <b/>
      <sz val="20"/>
      <color theme="4"/>
      <name val="Times New Roman"/>
      <family val="1"/>
    </font>
    <font>
      <b/>
      <sz val="48"/>
      <color rgb="FFFF0000"/>
      <name val="Times New Roman"/>
      <family val="1"/>
    </font>
    <font>
      <sz val="11"/>
      <color theme="1"/>
      <name val="Calibri"/>
      <family val="2"/>
      <charset val="163"/>
      <scheme val="minor"/>
    </font>
    <font>
      <b/>
      <sz val="13"/>
      <color theme="8"/>
      <name val="Times New Roman"/>
      <family val="1"/>
    </font>
    <font>
      <i/>
      <sz val="13"/>
      <color theme="1"/>
      <name val="Times New Roman"/>
      <family val="1"/>
    </font>
    <font>
      <sz val="13"/>
      <name val="Times New Roman"/>
      <family val="1"/>
    </font>
    <font>
      <b/>
      <u/>
      <sz val="12"/>
      <color theme="1"/>
      <name val="Times New Roman"/>
      <family val="1"/>
    </font>
    <font>
      <sz val="9"/>
      <color theme="1"/>
      <name val="Times New Roman"/>
      <family val="1"/>
    </font>
    <font>
      <b/>
      <sz val="9"/>
      <color theme="1"/>
      <name val="Times New Roman"/>
      <family val="1"/>
    </font>
    <font>
      <b/>
      <i/>
      <sz val="9"/>
      <name val="Times New Roman"/>
      <family val="1"/>
    </font>
    <font>
      <b/>
      <sz val="9"/>
      <color theme="8"/>
      <name val="Times New Roman"/>
      <family val="1"/>
    </font>
    <font>
      <b/>
      <sz val="13"/>
      <name val="Times New Roman"/>
      <family val="1"/>
    </font>
    <font>
      <b/>
      <i/>
      <u/>
      <sz val="13"/>
      <name val="Times New Roman"/>
      <family val="1"/>
    </font>
    <font>
      <i/>
      <sz val="13"/>
      <name val="Times New Roman"/>
      <family val="1"/>
    </font>
    <font>
      <b/>
      <sz val="13"/>
      <color rgb="FF002060"/>
      <name val="Times New Roman"/>
      <family val="1"/>
    </font>
    <font>
      <b/>
      <i/>
      <sz val="13"/>
      <name val="Times New Roman"/>
      <family val="1"/>
    </font>
    <font>
      <b/>
      <i/>
      <sz val="13"/>
      <color theme="1"/>
      <name val="Times New Roman"/>
      <family val="1"/>
    </font>
    <font>
      <u/>
      <sz val="13"/>
      <color theme="10"/>
      <name val="Times New Roman"/>
      <family val="1"/>
    </font>
    <font>
      <b/>
      <sz val="22"/>
      <color rgb="FF002060"/>
      <name val="Times New Roman"/>
      <family val="1"/>
    </font>
    <font>
      <sz val="36"/>
      <color theme="1"/>
      <name val="Times New Roman"/>
      <family val="1"/>
    </font>
    <font>
      <b/>
      <sz val="26"/>
      <name val="Times New Roman"/>
      <family val="1"/>
    </font>
    <font>
      <b/>
      <i/>
      <u/>
      <sz val="26"/>
      <name val="Times New Roman"/>
      <family val="1"/>
    </font>
  </fonts>
  <fills count="19">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rgb="FF92D050"/>
        <bgColor indexed="64"/>
      </patternFill>
    </fill>
    <fill>
      <patternFill patternType="solid">
        <fgColor rgb="FFFFFFFF"/>
        <bgColor indexed="64"/>
      </patternFill>
    </fill>
    <fill>
      <patternFill patternType="solid">
        <fgColor theme="5" tint="0.59999389629810485"/>
        <bgColor indexed="64"/>
      </patternFill>
    </fill>
    <fill>
      <patternFill patternType="solid">
        <fgColor rgb="FFF3A7BF"/>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7"/>
        <bgColor indexed="64"/>
      </patternFill>
    </fill>
    <fill>
      <patternFill patternType="solid">
        <fgColor rgb="FFFFC000"/>
        <bgColor indexed="64"/>
      </patternFill>
    </fill>
  </fills>
  <borders count="5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bottom style="dashed">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rgb="FFDADCE0"/>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dashed">
        <color auto="1"/>
      </bottom>
      <diagonal/>
    </border>
    <border>
      <left/>
      <right/>
      <top style="thin">
        <color indexed="64"/>
      </top>
      <bottom/>
      <diagonal/>
    </border>
    <border>
      <left style="thin">
        <color indexed="64"/>
      </left>
      <right style="thin">
        <color indexed="64"/>
      </right>
      <top style="dashed">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auto="1"/>
      </top>
      <bottom style="dashed">
        <color indexed="64"/>
      </bottom>
      <diagonal/>
    </border>
    <border>
      <left/>
      <right style="thin">
        <color indexed="64"/>
      </right>
      <top style="thin">
        <color auto="1"/>
      </top>
      <bottom style="dashed">
        <color indexed="64"/>
      </bottom>
      <diagonal/>
    </border>
    <border>
      <left style="thin">
        <color auto="1"/>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top style="dashed">
        <color indexed="64"/>
      </top>
      <bottom style="thin">
        <color auto="1"/>
      </bottom>
      <diagonal/>
    </border>
    <border>
      <left/>
      <right style="thin">
        <color auto="1"/>
      </right>
      <top style="dashed">
        <color indexed="64"/>
      </top>
      <bottom style="thin">
        <color auto="1"/>
      </bottom>
      <diagonal/>
    </border>
    <border>
      <left/>
      <right/>
      <top style="dashed">
        <color auto="1"/>
      </top>
      <bottom style="thin">
        <color auto="1"/>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dashed">
        <color indexed="64"/>
      </top>
      <bottom style="dashed">
        <color indexed="64"/>
      </bottom>
      <diagonal/>
    </border>
    <border>
      <left/>
      <right/>
      <top style="thin">
        <color auto="1"/>
      </top>
      <bottom style="dashed">
        <color indexed="64"/>
      </bottom>
      <diagonal/>
    </border>
    <border>
      <left style="thin">
        <color auto="1"/>
      </left>
      <right/>
      <top/>
      <bottom style="dashed">
        <color indexed="64"/>
      </bottom>
      <diagonal/>
    </border>
    <border>
      <left/>
      <right style="thin">
        <color indexed="64"/>
      </right>
      <top/>
      <bottom style="dashed">
        <color indexed="64"/>
      </bottom>
      <diagonal/>
    </border>
  </borders>
  <cellStyleXfs count="40">
    <xf numFmtId="0" fontId="0" fillId="0" borderId="0"/>
    <xf numFmtId="43" fontId="5" fillId="0" borderId="0" applyFont="0" applyFill="0" applyBorder="0" applyAlignment="0" applyProtection="0"/>
    <xf numFmtId="0" fontId="7" fillId="0" borderId="0" applyNumberFormat="0" applyFill="0" applyBorder="0" applyAlignment="0" applyProtection="0"/>
    <xf numFmtId="43" fontId="8" fillId="0" borderId="0" applyFont="0" applyFill="0" applyBorder="0" applyAlignment="0" applyProtection="0"/>
    <xf numFmtId="9" fontId="5" fillId="0" borderId="0" applyFont="0" applyFill="0" applyBorder="0" applyAlignment="0" applyProtection="0"/>
    <xf numFmtId="0" fontId="11" fillId="0" borderId="0"/>
    <xf numFmtId="43" fontId="13" fillId="0" borderId="0" applyFont="0" applyFill="0" applyBorder="0" applyAlignment="0" applyProtection="0"/>
    <xf numFmtId="0" fontId="13" fillId="0" borderId="0"/>
    <xf numFmtId="43"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43" fontId="2" fillId="0" borderId="0" applyFont="0" applyFill="0" applyBorder="0" applyAlignment="0" applyProtection="0"/>
    <xf numFmtId="0" fontId="16" fillId="0" borderId="0" applyNumberFormat="0" applyFill="0" applyBorder="0" applyAlignment="0" applyProtection="0"/>
    <xf numFmtId="0" fontId="2" fillId="0" borderId="0"/>
    <xf numFmtId="9" fontId="2" fillId="0" borderId="0" applyFont="0" applyFill="0" applyBorder="0" applyAlignment="0" applyProtection="0"/>
    <xf numFmtId="43" fontId="8"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0" fontId="75" fillId="0" borderId="0"/>
    <xf numFmtId="43" fontId="75" fillId="0" borderId="0" applyFont="0" applyFill="0" applyBorder="0" applyAlignment="0" applyProtection="0"/>
    <xf numFmtId="9" fontId="75" fillId="0" borderId="0" applyFont="0" applyFill="0" applyBorder="0" applyAlignment="0" applyProtection="0"/>
  </cellStyleXfs>
  <cellXfs count="815">
    <xf numFmtId="0" fontId="0" fillId="0" borderId="0" xfId="0"/>
    <xf numFmtId="0" fontId="0" fillId="0" borderId="0" xfId="0" applyAlignment="1">
      <alignment vertical="center"/>
    </xf>
    <xf numFmtId="0" fontId="10" fillId="0" borderId="0" xfId="0" applyFont="1" applyAlignment="1">
      <alignment vertical="center"/>
    </xf>
    <xf numFmtId="0" fontId="0" fillId="0" borderId="0" xfId="0" applyAlignment="1">
      <alignment horizontal="left"/>
    </xf>
    <xf numFmtId="0" fontId="6" fillId="0" borderId="0" xfId="0" applyFont="1" applyAlignment="1">
      <alignment horizontal="left"/>
    </xf>
    <xf numFmtId="0" fontId="0" fillId="0" borderId="0" xfId="0" applyAlignment="1">
      <alignment horizontal="center" vertical="center"/>
    </xf>
    <xf numFmtId="164" fontId="0" fillId="0" borderId="0" xfId="1" applyNumberFormat="1" applyFont="1"/>
    <xf numFmtId="9" fontId="0" fillId="0" borderId="0" xfId="4" applyFont="1"/>
    <xf numFmtId="164" fontId="0" fillId="0" borderId="0" xfId="0" applyNumberFormat="1"/>
    <xf numFmtId="0" fontId="14" fillId="0" borderId="0" xfId="0" applyFont="1"/>
    <xf numFmtId="0" fontId="14" fillId="0" borderId="0" xfId="0" applyFont="1" applyAlignment="1">
      <alignment vertical="center"/>
    </xf>
    <xf numFmtId="0" fontId="10" fillId="0" borderId="0" xfId="0" applyFont="1"/>
    <xf numFmtId="0" fontId="18" fillId="0" borderId="0" xfId="0" applyFont="1"/>
    <xf numFmtId="0" fontId="14" fillId="4" borderId="0" xfId="0" applyFont="1" applyFill="1" applyAlignment="1">
      <alignment vertical="center"/>
    </xf>
    <xf numFmtId="0" fontId="19" fillId="0" borderId="0" xfId="0" applyFont="1" applyAlignment="1">
      <alignment vertical="center"/>
    </xf>
    <xf numFmtId="0" fontId="19" fillId="0" borderId="0" xfId="28" applyFont="1" applyAlignment="1">
      <alignment vertical="center"/>
    </xf>
    <xf numFmtId="0" fontId="9" fillId="3" borderId="0" xfId="0" applyFont="1" applyFill="1" applyAlignment="1">
      <alignment vertical="center"/>
    </xf>
    <xf numFmtId="0" fontId="15" fillId="0" borderId="25" xfId="0" applyFont="1" applyBorder="1" applyAlignment="1">
      <alignment horizontal="center" vertical="center"/>
    </xf>
    <xf numFmtId="0" fontId="31" fillId="0" borderId="0" xfId="0" applyFont="1" applyAlignment="1">
      <alignment horizontal="left" vertical="center" wrapText="1"/>
    </xf>
    <xf numFmtId="0" fontId="32" fillId="0" borderId="0" xfId="0" applyFont="1" applyAlignment="1">
      <alignment horizontal="left" vertical="center"/>
    </xf>
    <xf numFmtId="164" fontId="33" fillId="0" borderId="0" xfId="3" applyNumberFormat="1" applyFont="1" applyFill="1" applyBorder="1" applyAlignment="1">
      <alignment horizontal="center" vertical="center" wrapText="1"/>
    </xf>
    <xf numFmtId="164" fontId="33" fillId="0" borderId="0" xfId="1" applyNumberFormat="1" applyFont="1" applyFill="1" applyBorder="1" applyAlignment="1">
      <alignment horizontal="center" vertical="center" wrapText="1"/>
    </xf>
    <xf numFmtId="0" fontId="32" fillId="0" borderId="0" xfId="0" applyFont="1" applyAlignment="1">
      <alignment horizontal="center" vertical="center"/>
    </xf>
    <xf numFmtId="0" fontId="34" fillId="2" borderId="19" xfId="0" applyFont="1" applyFill="1" applyBorder="1" applyAlignment="1">
      <alignment horizontal="centerContinuous" vertical="center" wrapText="1"/>
    </xf>
    <xf numFmtId="0" fontId="34" fillId="2" borderId="19" xfId="0" applyFont="1" applyFill="1" applyBorder="1" applyAlignment="1">
      <alignment horizontal="center" vertical="center" wrapText="1"/>
    </xf>
    <xf numFmtId="164" fontId="34" fillId="2" borderId="19" xfId="1" applyNumberFormat="1" applyFont="1" applyFill="1" applyBorder="1" applyAlignment="1">
      <alignment horizontal="center" vertical="center" wrapText="1"/>
    </xf>
    <xf numFmtId="164" fontId="34" fillId="2" borderId="20" xfId="1" applyNumberFormat="1" applyFont="1" applyFill="1" applyBorder="1" applyAlignment="1">
      <alignment horizontal="center" vertical="center" wrapText="1"/>
    </xf>
    <xf numFmtId="0" fontId="34" fillId="8" borderId="21" xfId="0" applyFont="1" applyFill="1" applyBorder="1" applyAlignment="1">
      <alignment horizontal="left" vertical="center"/>
    </xf>
    <xf numFmtId="0" fontId="34" fillId="8" borderId="26" xfId="0" applyFont="1" applyFill="1" applyBorder="1" applyAlignment="1">
      <alignment horizontal="left" vertical="center"/>
    </xf>
    <xf numFmtId="0" fontId="35" fillId="8" borderId="26" xfId="0" applyFont="1" applyFill="1" applyBorder="1" applyAlignment="1">
      <alignment horizontal="left" vertical="center"/>
    </xf>
    <xf numFmtId="164" fontId="34" fillId="8" borderId="26" xfId="0" applyNumberFormat="1" applyFont="1" applyFill="1" applyBorder="1" applyAlignment="1">
      <alignment horizontal="left" vertical="center"/>
    </xf>
    <xf numFmtId="164" fontId="35" fillId="8" borderId="15" xfId="0" applyNumberFormat="1" applyFont="1" applyFill="1" applyBorder="1" applyAlignment="1">
      <alignment horizontal="center" vertical="center"/>
    </xf>
    <xf numFmtId="0" fontId="32" fillId="0" borderId="25" xfId="0" applyFont="1" applyBorder="1" applyAlignment="1">
      <alignment horizontal="center" vertical="center"/>
    </xf>
    <xf numFmtId="164" fontId="32" fillId="0" borderId="25" xfId="1" applyNumberFormat="1" applyFont="1" applyBorder="1" applyAlignment="1">
      <alignment horizontal="center" vertical="center" shrinkToFit="1"/>
    </xf>
    <xf numFmtId="0" fontId="36" fillId="0" borderId="25" xfId="0" applyFont="1" applyBorder="1" applyAlignment="1">
      <alignment horizontal="center" vertical="center" wrapText="1"/>
    </xf>
    <xf numFmtId="0" fontId="32" fillId="0" borderId="4" xfId="0" applyFont="1" applyBorder="1" applyAlignment="1">
      <alignment horizontal="center" vertical="center"/>
    </xf>
    <xf numFmtId="0" fontId="36" fillId="4" borderId="4" xfId="28" applyFont="1" applyFill="1" applyBorder="1" applyAlignment="1">
      <alignment horizontal="left" vertical="center" wrapText="1"/>
    </xf>
    <xf numFmtId="0" fontId="36" fillId="0" borderId="4" xfId="0" applyFont="1" applyBorder="1" applyAlignment="1">
      <alignment horizontal="center" vertical="center" wrapText="1"/>
    </xf>
    <xf numFmtId="0" fontId="36" fillId="0" borderId="4" xfId="0" quotePrefix="1" applyFont="1" applyBorder="1" applyAlignment="1">
      <alignment horizontal="left" vertical="center" wrapText="1"/>
    </xf>
    <xf numFmtId="0" fontId="36" fillId="0" borderId="4" xfId="0" applyFont="1" applyBorder="1" applyAlignment="1">
      <alignment horizontal="center" vertical="center"/>
    </xf>
    <xf numFmtId="0" fontId="36" fillId="4" borderId="4" xfId="28" quotePrefix="1" applyFont="1" applyFill="1" applyBorder="1" applyAlignment="1">
      <alignment horizontal="left" vertical="center" wrapText="1"/>
    </xf>
    <xf numFmtId="0" fontId="36" fillId="4" borderId="4" xfId="0" quotePrefix="1" applyFont="1" applyFill="1" applyBorder="1" applyAlignment="1">
      <alignment vertical="center" wrapText="1"/>
    </xf>
    <xf numFmtId="0" fontId="32" fillId="0" borderId="4" xfId="0" applyFont="1" applyBorder="1" applyAlignment="1">
      <alignment horizontal="left" vertical="center" wrapText="1"/>
    </xf>
    <xf numFmtId="0" fontId="32" fillId="0" borderId="27" xfId="0" applyFont="1" applyBorder="1" applyAlignment="1">
      <alignment horizontal="center" vertical="center"/>
    </xf>
    <xf numFmtId="164" fontId="32" fillId="0" borderId="27" xfId="1" applyNumberFormat="1" applyFont="1" applyBorder="1" applyAlignment="1">
      <alignment horizontal="center" vertical="center" shrinkToFit="1"/>
    </xf>
    <xf numFmtId="0" fontId="34" fillId="8" borderId="19" xfId="0" applyFont="1" applyFill="1" applyBorder="1" applyAlignment="1">
      <alignment horizontal="left" vertical="center"/>
    </xf>
    <xf numFmtId="0" fontId="35" fillId="8" borderId="19" xfId="0" applyFont="1" applyFill="1" applyBorder="1" applyAlignment="1">
      <alignment horizontal="left" vertical="center"/>
    </xf>
    <xf numFmtId="164" fontId="34" fillId="8" borderId="19" xfId="0" applyNumberFormat="1" applyFont="1" applyFill="1" applyBorder="1" applyAlignment="1">
      <alignment horizontal="left" vertical="center"/>
    </xf>
    <xf numFmtId="164" fontId="35" fillId="8" borderId="19" xfId="0" applyNumberFormat="1" applyFont="1" applyFill="1" applyBorder="1" applyAlignment="1">
      <alignment horizontal="center" vertical="center"/>
    </xf>
    <xf numFmtId="0" fontId="33" fillId="8" borderId="23" xfId="0" applyFont="1" applyFill="1" applyBorder="1" applyAlignment="1">
      <alignment horizontal="left" vertical="center"/>
    </xf>
    <xf numFmtId="0" fontId="37" fillId="8" borderId="23" xfId="0" applyFont="1" applyFill="1" applyBorder="1" applyAlignment="1">
      <alignment horizontal="left" vertical="center"/>
    </xf>
    <xf numFmtId="3" fontId="32" fillId="8" borderId="23" xfId="0" applyNumberFormat="1" applyFont="1" applyFill="1" applyBorder="1" applyAlignment="1">
      <alignment horizontal="left" vertical="center" shrinkToFit="1"/>
    </xf>
    <xf numFmtId="164" fontId="32" fillId="8" borderId="23" xfId="1" applyNumberFormat="1" applyFont="1" applyFill="1" applyBorder="1" applyAlignment="1">
      <alignment horizontal="left" vertical="center"/>
    </xf>
    <xf numFmtId="164" fontId="34" fillId="8" borderId="23" xfId="1" applyNumberFormat="1" applyFont="1" applyFill="1" applyBorder="1" applyAlignment="1">
      <alignment horizontal="left" vertical="center"/>
    </xf>
    <xf numFmtId="164" fontId="38" fillId="8" borderId="22" xfId="1" applyNumberFormat="1" applyFont="1" applyFill="1" applyBorder="1" applyAlignment="1">
      <alignment horizontal="center" vertical="center"/>
    </xf>
    <xf numFmtId="0" fontId="32" fillId="0" borderId="25" xfId="0" applyFont="1" applyBorder="1" applyAlignment="1">
      <alignment horizontal="left" vertical="center" wrapText="1"/>
    </xf>
    <xf numFmtId="0" fontId="32" fillId="0" borderId="19" xfId="0" applyFont="1" applyBorder="1" applyAlignment="1">
      <alignment horizontal="center" vertical="center"/>
    </xf>
    <xf numFmtId="0" fontId="32" fillId="0" borderId="19" xfId="0" applyFont="1" applyBorder="1" applyAlignment="1">
      <alignment horizontal="left" vertical="center" wrapText="1"/>
    </xf>
    <xf numFmtId="0" fontId="36" fillId="0" borderId="19" xfId="0" applyFont="1" applyBorder="1" applyAlignment="1">
      <alignment horizontal="left" vertical="center" wrapText="1"/>
    </xf>
    <xf numFmtId="164" fontId="32" fillId="0" borderId="19" xfId="1" applyNumberFormat="1" applyFont="1" applyBorder="1" applyAlignment="1">
      <alignment horizontal="center" vertical="center" shrinkToFit="1"/>
    </xf>
    <xf numFmtId="0" fontId="36" fillId="0" borderId="19" xfId="0" applyFont="1" applyBorder="1" applyAlignment="1">
      <alignment horizontal="center" vertical="center"/>
    </xf>
    <xf numFmtId="0" fontId="32" fillId="0" borderId="7" xfId="0" applyFont="1" applyBorder="1" applyAlignment="1">
      <alignment horizontal="center" vertical="center"/>
    </xf>
    <xf numFmtId="0" fontId="32" fillId="0" borderId="7" xfId="0" applyFont="1" applyBorder="1" applyAlignment="1">
      <alignment horizontal="left" vertical="center" wrapText="1"/>
    </xf>
    <xf numFmtId="0" fontId="36" fillId="0" borderId="7" xfId="0" applyFont="1" applyBorder="1" applyAlignment="1">
      <alignment horizontal="left" vertical="center" wrapText="1"/>
    </xf>
    <xf numFmtId="164" fontId="32" fillId="0" borderId="7" xfId="1" applyNumberFormat="1" applyFont="1" applyBorder="1" applyAlignment="1">
      <alignment horizontal="center" vertical="center" shrinkToFit="1"/>
    </xf>
    <xf numFmtId="164" fontId="32" fillId="4" borderId="7" xfId="1" applyNumberFormat="1" applyFont="1" applyFill="1" applyBorder="1" applyAlignment="1">
      <alignment horizontal="center" vertical="center" wrapText="1"/>
    </xf>
    <xf numFmtId="164" fontId="34" fillId="4" borderId="7" xfId="1" applyNumberFormat="1" applyFont="1" applyFill="1" applyBorder="1" applyAlignment="1">
      <alignment horizontal="center" vertical="center" wrapText="1"/>
    </xf>
    <xf numFmtId="164" fontId="38" fillId="4" borderId="7" xfId="1" applyNumberFormat="1" applyFont="1" applyFill="1" applyBorder="1" applyAlignment="1">
      <alignment horizontal="center" vertical="center" wrapText="1"/>
    </xf>
    <xf numFmtId="0" fontId="39" fillId="0" borderId="14" xfId="0" applyFont="1" applyBorder="1" applyAlignment="1">
      <alignment horizontal="left" vertical="center"/>
    </xf>
    <xf numFmtId="0" fontId="40" fillId="0" borderId="26" xfId="0" applyFont="1" applyBorder="1" applyAlignment="1">
      <alignment horizontal="left" vertical="center"/>
    </xf>
    <xf numFmtId="0" fontId="39" fillId="0" borderId="26" xfId="0" applyFont="1" applyBorder="1" applyAlignment="1">
      <alignment horizontal="left" vertical="center"/>
    </xf>
    <xf numFmtId="0" fontId="39" fillId="0" borderId="26" xfId="0" applyFont="1" applyBorder="1" applyAlignment="1">
      <alignment horizontal="center" vertical="center"/>
    </xf>
    <xf numFmtId="164" fontId="39" fillId="0" borderId="26" xfId="1" applyNumberFormat="1" applyFont="1" applyBorder="1" applyAlignment="1">
      <alignment horizontal="center" vertical="center"/>
    </xf>
    <xf numFmtId="164" fontId="41" fillId="0" borderId="15" xfId="1" applyNumberFormat="1" applyFont="1" applyBorder="1" applyAlignment="1">
      <alignment horizontal="center" vertical="center"/>
    </xf>
    <xf numFmtId="0" fontId="39" fillId="0" borderId="24" xfId="0" applyFont="1" applyBorder="1" applyAlignment="1">
      <alignment horizontal="left" vertical="center"/>
    </xf>
    <xf numFmtId="0" fontId="42" fillId="4" borderId="0" xfId="0" applyFont="1" applyFill="1" applyAlignment="1">
      <alignment horizontal="left" vertical="center"/>
    </xf>
    <xf numFmtId="0" fontId="39" fillId="0" borderId="0" xfId="0" applyFont="1" applyAlignment="1">
      <alignment horizontal="left" vertical="center"/>
    </xf>
    <xf numFmtId="0" fontId="39" fillId="0" borderId="0" xfId="0" applyFont="1" applyAlignment="1">
      <alignment horizontal="center" vertical="center"/>
    </xf>
    <xf numFmtId="164" fontId="39" fillId="0" borderId="0" xfId="1" applyNumberFormat="1" applyFont="1" applyBorder="1" applyAlignment="1">
      <alignment horizontal="center" vertical="center"/>
    </xf>
    <xf numFmtId="164" fontId="41" fillId="0" borderId="12" xfId="1" applyNumberFormat="1" applyFont="1" applyBorder="1" applyAlignment="1">
      <alignment horizontal="center" vertical="center"/>
    </xf>
    <xf numFmtId="0" fontId="40" fillId="0" borderId="0" xfId="0" applyFont="1" applyAlignment="1">
      <alignment horizontal="left" vertical="center"/>
    </xf>
    <xf numFmtId="0" fontId="41" fillId="0" borderId="0" xfId="0" applyFont="1" applyAlignment="1">
      <alignment horizontal="left" vertical="center"/>
    </xf>
    <xf numFmtId="0" fontId="41" fillId="0" borderId="0" xfId="0" quotePrefix="1" applyFont="1" applyAlignment="1">
      <alignment horizontal="left" vertical="center"/>
    </xf>
    <xf numFmtId="0" fontId="39" fillId="0" borderId="8" xfId="0" applyFont="1" applyBorder="1" applyAlignment="1">
      <alignment horizontal="left" vertical="center"/>
    </xf>
    <xf numFmtId="0" fontId="41" fillId="0" borderId="9" xfId="0" quotePrefix="1" applyFont="1" applyBorder="1" applyAlignment="1">
      <alignment horizontal="left" vertical="center"/>
    </xf>
    <xf numFmtId="0" fontId="39" fillId="0" borderId="9" xfId="0" applyFont="1" applyBorder="1" applyAlignment="1">
      <alignment horizontal="left" vertical="center"/>
    </xf>
    <xf numFmtId="0" fontId="39" fillId="0" borderId="9" xfId="0" applyFont="1" applyBorder="1" applyAlignment="1">
      <alignment horizontal="center" vertical="center"/>
    </xf>
    <xf numFmtId="164" fontId="39" fillId="0" borderId="9" xfId="1" applyNumberFormat="1" applyFont="1" applyBorder="1" applyAlignment="1">
      <alignment horizontal="center" vertical="center"/>
    </xf>
    <xf numFmtId="164" fontId="41" fillId="0" borderId="13" xfId="1" applyNumberFormat="1" applyFont="1" applyBorder="1" applyAlignment="1">
      <alignment horizontal="center" vertical="center"/>
    </xf>
    <xf numFmtId="0" fontId="39" fillId="0" borderId="0" xfId="0" applyFont="1" applyAlignment="1">
      <alignment horizontal="centerContinuous" vertical="center"/>
    </xf>
    <xf numFmtId="0" fontId="41"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horizontal="left" vertical="center" indent="2"/>
    </xf>
    <xf numFmtId="0" fontId="44" fillId="0" borderId="0" xfId="0" applyFont="1" applyAlignment="1">
      <alignment horizontal="center" vertical="center"/>
    </xf>
    <xf numFmtId="0" fontId="44" fillId="0" borderId="0" xfId="0" applyFont="1" applyAlignment="1">
      <alignment horizontal="centerContinuous" vertical="center"/>
    </xf>
    <xf numFmtId="0" fontId="43" fillId="0" borderId="0" xfId="0" applyFont="1" applyAlignment="1">
      <alignment horizontal="center" vertical="center"/>
    </xf>
    <xf numFmtId="0" fontId="17" fillId="0" borderId="0" xfId="0" applyFont="1" applyAlignment="1">
      <alignment horizontal="center" vertical="center"/>
    </xf>
    <xf numFmtId="0" fontId="45" fillId="0" borderId="0" xfId="0" applyFont="1" applyAlignment="1">
      <alignment horizontal="left" vertical="center"/>
    </xf>
    <xf numFmtId="0" fontId="45" fillId="0" borderId="0" xfId="0" applyFont="1" applyAlignment="1">
      <alignment vertical="center"/>
    </xf>
    <xf numFmtId="43" fontId="46" fillId="0" borderId="0" xfId="1" applyFont="1" applyAlignment="1">
      <alignment horizontal="centerContinuous" vertical="center"/>
    </xf>
    <xf numFmtId="0" fontId="36" fillId="0" borderId="25" xfId="0" quotePrefix="1" applyFont="1" applyBorder="1" applyAlignment="1">
      <alignment vertical="center" wrapText="1"/>
    </xf>
    <xf numFmtId="0" fontId="20" fillId="0" borderId="0" xfId="0" applyFont="1"/>
    <xf numFmtId="0" fontId="32" fillId="0" borderId="25" xfId="0" applyFont="1" applyBorder="1" applyAlignment="1">
      <alignment horizontal="left" vertical="center"/>
    </xf>
    <xf numFmtId="0" fontId="35" fillId="4" borderId="25" xfId="0" applyFont="1" applyFill="1" applyBorder="1" applyAlignment="1">
      <alignment horizontal="center" vertical="center"/>
    </xf>
    <xf numFmtId="164" fontId="32" fillId="0" borderId="4" xfId="1" applyNumberFormat="1" applyFont="1" applyBorder="1" applyAlignment="1">
      <alignment horizontal="center" vertical="center" shrinkToFit="1"/>
    </xf>
    <xf numFmtId="0" fontId="32" fillId="0" borderId="34" xfId="0" applyFont="1" applyBorder="1" applyAlignment="1">
      <alignment horizontal="center" vertical="center"/>
    </xf>
    <xf numFmtId="0" fontId="32" fillId="0" borderId="5" xfId="0" applyFont="1" applyBorder="1" applyAlignment="1">
      <alignment horizontal="center" vertical="center"/>
    </xf>
    <xf numFmtId="164" fontId="32" fillId="0" borderId="5" xfId="1" applyNumberFormat="1" applyFont="1" applyBorder="1" applyAlignment="1">
      <alignment horizontal="center" vertical="center" shrinkToFit="1"/>
    </xf>
    <xf numFmtId="0" fontId="36" fillId="0" borderId="35" xfId="0" applyFont="1" applyBorder="1" applyAlignment="1">
      <alignment horizontal="center" vertical="center"/>
    </xf>
    <xf numFmtId="0" fontId="26" fillId="0" borderId="0" xfId="0" applyFont="1" applyAlignment="1">
      <alignment vertical="center"/>
    </xf>
    <xf numFmtId="0" fontId="29" fillId="0" borderId="0" xfId="0" applyFont="1" applyAlignment="1">
      <alignment vertical="center" wrapText="1"/>
    </xf>
    <xf numFmtId="0" fontId="47" fillId="0" borderId="0" xfId="0" applyFont="1" applyAlignment="1">
      <alignment horizontal="left" vertical="center"/>
    </xf>
    <xf numFmtId="0" fontId="32" fillId="0" borderId="4" xfId="0" applyFont="1" applyBorder="1" applyAlignment="1">
      <alignment horizontal="left" vertical="center"/>
    </xf>
    <xf numFmtId="0" fontId="36" fillId="0" borderId="4" xfId="0" quotePrefix="1" applyFont="1" applyBorder="1" applyAlignment="1">
      <alignment vertical="center" wrapText="1"/>
    </xf>
    <xf numFmtId="0" fontId="32" fillId="0" borderId="32" xfId="0" applyFont="1" applyBorder="1" applyAlignment="1">
      <alignment vertical="center"/>
    </xf>
    <xf numFmtId="0" fontId="32" fillId="0" borderId="33" xfId="0" applyFont="1" applyBorder="1" applyAlignment="1">
      <alignment vertical="center"/>
    </xf>
    <xf numFmtId="0" fontId="32" fillId="0" borderId="35" xfId="0" applyFont="1" applyBorder="1" applyAlignment="1">
      <alignment vertical="center" wrapText="1"/>
    </xf>
    <xf numFmtId="0" fontId="36" fillId="0" borderId="5" xfId="0" applyFont="1" applyBorder="1" applyAlignment="1">
      <alignment horizontal="center" vertical="center"/>
    </xf>
    <xf numFmtId="0" fontId="32" fillId="0" borderId="34" xfId="0" applyFont="1" applyBorder="1" applyAlignment="1">
      <alignment horizontal="left" vertical="center"/>
    </xf>
    <xf numFmtId="0" fontId="32" fillId="0" borderId="5" xfId="0" applyFont="1" applyBorder="1" applyAlignment="1">
      <alignment horizontal="left" vertical="center"/>
    </xf>
    <xf numFmtId="0" fontId="36" fillId="0" borderId="36" xfId="0" applyFont="1" applyBorder="1" applyAlignment="1">
      <alignment horizontal="center" vertical="center"/>
    </xf>
    <xf numFmtId="0" fontId="15" fillId="0" borderId="35" xfId="0" applyFont="1" applyBorder="1" applyAlignment="1">
      <alignment horizontal="center" vertical="center"/>
    </xf>
    <xf numFmtId="0" fontId="36" fillId="0" borderId="25" xfId="0" applyFont="1" applyBorder="1" applyAlignment="1">
      <alignment horizontal="center" vertical="center"/>
    </xf>
    <xf numFmtId="0" fontId="0" fillId="0" borderId="4" xfId="0" applyBorder="1"/>
    <xf numFmtId="0" fontId="48" fillId="0" borderId="0" xfId="0" applyFont="1"/>
    <xf numFmtId="9" fontId="48" fillId="0" borderId="0" xfId="0" applyNumberFormat="1" applyFont="1"/>
    <xf numFmtId="0" fontId="48" fillId="0" borderId="0" xfId="0" applyFont="1" applyAlignment="1">
      <alignment vertical="center"/>
    </xf>
    <xf numFmtId="164" fontId="48" fillId="0" borderId="0" xfId="0" applyNumberFormat="1" applyFont="1" applyAlignment="1">
      <alignment vertical="center"/>
    </xf>
    <xf numFmtId="164" fontId="48" fillId="0" borderId="19" xfId="0" applyNumberFormat="1" applyFont="1" applyBorder="1"/>
    <xf numFmtId="9" fontId="48" fillId="0" borderId="19" xfId="4" applyFont="1" applyBorder="1" applyAlignment="1">
      <alignment vertical="center"/>
    </xf>
    <xf numFmtId="0" fontId="0" fillId="0" borderId="19" xfId="0" applyBorder="1"/>
    <xf numFmtId="164" fontId="48" fillId="0" borderId="19" xfId="0" applyNumberFormat="1" applyFont="1" applyBorder="1" applyAlignment="1">
      <alignment vertical="center"/>
    </xf>
    <xf numFmtId="164" fontId="48" fillId="0" borderId="19" xfId="1" applyNumberFormat="1" applyFont="1" applyBorder="1" applyAlignment="1">
      <alignment vertical="center"/>
    </xf>
    <xf numFmtId="0" fontId="48" fillId="0" borderId="19" xfId="0" applyFont="1" applyBorder="1"/>
    <xf numFmtId="0" fontId="48" fillId="10" borderId="0" xfId="0" applyFont="1" applyFill="1"/>
    <xf numFmtId="0" fontId="0" fillId="10" borderId="0" xfId="0" applyFill="1"/>
    <xf numFmtId="9" fontId="48" fillId="10" borderId="0" xfId="0" applyNumberFormat="1" applyFont="1" applyFill="1"/>
    <xf numFmtId="164" fontId="48" fillId="10" borderId="19" xfId="0" applyNumberFormat="1" applyFont="1" applyFill="1" applyBorder="1"/>
    <xf numFmtId="0" fontId="0" fillId="10" borderId="19" xfId="0" applyFill="1" applyBorder="1"/>
    <xf numFmtId="164" fontId="48" fillId="10" borderId="19" xfId="1" applyNumberFormat="1" applyFont="1" applyFill="1" applyBorder="1" applyAlignment="1">
      <alignment vertical="center"/>
    </xf>
    <xf numFmtId="0" fontId="48" fillId="10" borderId="19" xfId="0" applyFont="1" applyFill="1" applyBorder="1"/>
    <xf numFmtId="164" fontId="34" fillId="10" borderId="19" xfId="1" applyNumberFormat="1" applyFont="1" applyFill="1" applyBorder="1" applyAlignment="1">
      <alignment horizontal="center" vertical="center" wrapText="1"/>
    </xf>
    <xf numFmtId="164" fontId="48" fillId="0" borderId="0" xfId="0" applyNumberFormat="1" applyFont="1"/>
    <xf numFmtId="9" fontId="48" fillId="0" borderId="0" xfId="4" applyFont="1" applyAlignment="1">
      <alignment vertical="center"/>
    </xf>
    <xf numFmtId="164" fontId="48" fillId="0" borderId="0" xfId="1" applyNumberFormat="1" applyFont="1" applyAlignment="1">
      <alignment vertical="center"/>
    </xf>
    <xf numFmtId="0" fontId="50" fillId="0" borderId="0" xfId="0" applyFont="1" applyAlignment="1">
      <alignment horizontal="center" vertical="center"/>
    </xf>
    <xf numFmtId="0" fontId="10" fillId="0" borderId="0" xfId="0" applyFont="1" applyAlignment="1">
      <alignment horizontal="center"/>
    </xf>
    <xf numFmtId="164" fontId="54" fillId="0" borderId="0" xfId="1" applyNumberFormat="1" applyFont="1"/>
    <xf numFmtId="9" fontId="54" fillId="0" borderId="0" xfId="4" applyFont="1"/>
    <xf numFmtId="0" fontId="54" fillId="0" borderId="0" xfId="0" applyFont="1"/>
    <xf numFmtId="0" fontId="54" fillId="0" borderId="2" xfId="0" applyFont="1" applyBorder="1" applyAlignment="1">
      <alignment horizontal="center" vertical="center"/>
    </xf>
    <xf numFmtId="164" fontId="54" fillId="0" borderId="2" xfId="1" applyNumberFormat="1" applyFont="1" applyBorder="1" applyAlignment="1">
      <alignment horizontal="center" vertical="center"/>
    </xf>
    <xf numFmtId="164" fontId="54" fillId="0" borderId="0" xfId="0" applyNumberFormat="1" applyFont="1"/>
    <xf numFmtId="43" fontId="54" fillId="0" borderId="0" xfId="0" applyNumberFormat="1" applyFont="1"/>
    <xf numFmtId="43" fontId="55" fillId="0" borderId="0" xfId="0" applyNumberFormat="1" applyFont="1"/>
    <xf numFmtId="164" fontId="56" fillId="5" borderId="2" xfId="3" applyNumberFormat="1" applyFont="1" applyFill="1" applyBorder="1" applyAlignment="1">
      <alignment horizontal="centerContinuous" vertical="center"/>
    </xf>
    <xf numFmtId="164" fontId="56" fillId="5" borderId="2" xfId="3" applyNumberFormat="1" applyFont="1" applyFill="1" applyBorder="1" applyAlignment="1">
      <alignment vertical="center" wrapText="1"/>
    </xf>
    <xf numFmtId="0" fontId="56" fillId="5" borderId="2" xfId="0" applyFont="1" applyFill="1" applyBorder="1" applyAlignment="1">
      <alignment vertical="center"/>
    </xf>
    <xf numFmtId="164" fontId="57" fillId="0" borderId="0" xfId="1" applyNumberFormat="1" applyFont="1"/>
    <xf numFmtId="9" fontId="54" fillId="0" borderId="0" xfId="4" applyFont="1" applyAlignment="1">
      <alignment horizontal="right" vertical="center"/>
    </xf>
    <xf numFmtId="43" fontId="58" fillId="0" borderId="0" xfId="0" applyNumberFormat="1" applyFont="1"/>
    <xf numFmtId="164" fontId="56" fillId="5" borderId="2" xfId="3" applyNumberFormat="1" applyFont="1" applyFill="1" applyBorder="1" applyAlignment="1">
      <alignment horizontal="center" vertical="center" wrapText="1"/>
    </xf>
    <xf numFmtId="0" fontId="56" fillId="5" borderId="2" xfId="0" applyFont="1" applyFill="1" applyBorder="1" applyAlignment="1">
      <alignment horizontal="center" vertical="center" wrapText="1"/>
    </xf>
    <xf numFmtId="9" fontId="59" fillId="5" borderId="2" xfId="4" applyFont="1" applyFill="1" applyBorder="1" applyAlignment="1">
      <alignment horizontal="center" vertical="center" wrapText="1"/>
    </xf>
    <xf numFmtId="0" fontId="56" fillId="5" borderId="2" xfId="0" applyFont="1" applyFill="1" applyBorder="1" applyAlignment="1">
      <alignment horizontal="center" vertical="center"/>
    </xf>
    <xf numFmtId="164" fontId="56" fillId="5" borderId="3" xfId="1" applyNumberFormat="1" applyFont="1" applyFill="1" applyBorder="1" applyAlignment="1">
      <alignment horizontal="center" vertical="center"/>
    </xf>
    <xf numFmtId="164" fontId="56" fillId="9" borderId="2" xfId="1" applyNumberFormat="1" applyFont="1" applyFill="1" applyBorder="1" applyAlignment="1">
      <alignment horizontal="center"/>
    </xf>
    <xf numFmtId="0" fontId="56" fillId="3" borderId="2" xfId="0" applyFont="1" applyFill="1" applyBorder="1" applyAlignment="1">
      <alignment horizontal="center" vertical="center"/>
    </xf>
    <xf numFmtId="0" fontId="56" fillId="3" borderId="7" xfId="0" applyFont="1" applyFill="1" applyBorder="1" applyAlignment="1">
      <alignment horizontal="left" vertical="center"/>
    </xf>
    <xf numFmtId="0" fontId="56" fillId="3" borderId="7" xfId="0" applyFont="1" applyFill="1" applyBorder="1" applyAlignment="1">
      <alignment horizontal="center" vertical="center"/>
    </xf>
    <xf numFmtId="164" fontId="56" fillId="3" borderId="7" xfId="3" applyNumberFormat="1" applyFont="1" applyFill="1" applyBorder="1" applyAlignment="1">
      <alignment horizontal="center" vertical="center"/>
    </xf>
    <xf numFmtId="9" fontId="56" fillId="3" borderId="7" xfId="4" applyFont="1" applyFill="1" applyBorder="1" applyAlignment="1">
      <alignment horizontal="right" vertical="center"/>
    </xf>
    <xf numFmtId="0" fontId="54" fillId="3" borderId="7" xfId="0" applyFont="1" applyFill="1" applyBorder="1" applyAlignment="1">
      <alignment horizontal="center" vertical="center"/>
    </xf>
    <xf numFmtId="0" fontId="56" fillId="5" borderId="11" xfId="0" applyFont="1" applyFill="1" applyBorder="1" applyAlignment="1">
      <alignment horizontal="center" vertical="center"/>
    </xf>
    <xf numFmtId="164" fontId="56" fillId="5" borderId="14" xfId="1" applyNumberFormat="1" applyFont="1" applyFill="1" applyBorder="1" applyAlignment="1">
      <alignment horizontal="center" vertical="center"/>
    </xf>
    <xf numFmtId="164" fontId="56" fillId="9" borderId="11" xfId="1" applyNumberFormat="1" applyFont="1" applyFill="1" applyBorder="1" applyAlignment="1">
      <alignment horizontal="center"/>
    </xf>
    <xf numFmtId="0" fontId="59" fillId="0" borderId="25" xfId="0" applyFont="1" applyBorder="1" applyAlignment="1">
      <alignment horizontal="center" vertical="center"/>
    </xf>
    <xf numFmtId="0" fontId="59" fillId="4" borderId="25" xfId="0" applyFont="1" applyFill="1" applyBorder="1" applyAlignment="1">
      <alignment horizontal="left" vertical="center" wrapText="1"/>
    </xf>
    <xf numFmtId="0" fontId="59" fillId="4" borderId="25" xfId="0" applyFont="1" applyFill="1" applyBorder="1" applyAlignment="1">
      <alignment horizontal="center" vertical="center"/>
    </xf>
    <xf numFmtId="164" fontId="59" fillId="4" borderId="25" xfId="1" applyNumberFormat="1" applyFont="1" applyFill="1" applyBorder="1" applyAlignment="1">
      <alignment horizontal="center" vertical="center" shrinkToFit="1"/>
    </xf>
    <xf numFmtId="41" fontId="60" fillId="0" borderId="25" xfId="0" applyNumberFormat="1" applyFont="1" applyBorder="1" applyAlignment="1">
      <alignment horizontal="center" vertical="center" shrinkToFit="1"/>
    </xf>
    <xf numFmtId="0" fontId="59" fillId="0" borderId="25" xfId="0" applyFont="1" applyBorder="1" applyAlignment="1">
      <alignment vertical="center"/>
    </xf>
    <xf numFmtId="9" fontId="59" fillId="0" borderId="25" xfId="0" applyNumberFormat="1" applyFont="1" applyBorder="1" applyAlignment="1">
      <alignment vertical="center"/>
    </xf>
    <xf numFmtId="164" fontId="60" fillId="4" borderId="4" xfId="1" applyNumberFormat="1" applyFont="1" applyFill="1" applyBorder="1" applyAlignment="1">
      <alignment vertical="center"/>
    </xf>
    <xf numFmtId="164" fontId="59" fillId="0" borderId="25" xfId="1" applyNumberFormat="1" applyFont="1" applyBorder="1" applyAlignment="1">
      <alignment vertical="center"/>
    </xf>
    <xf numFmtId="43" fontId="59" fillId="0" borderId="25" xfId="0" applyNumberFormat="1" applyFont="1" applyBorder="1" applyAlignment="1">
      <alignment horizontal="center" vertical="center" shrinkToFit="1"/>
    </xf>
    <xf numFmtId="164" fontId="59" fillId="0" borderId="0" xfId="1" applyNumberFormat="1" applyFont="1" applyAlignment="1">
      <alignment vertical="center"/>
    </xf>
    <xf numFmtId="9" fontId="59" fillId="0" borderId="0" xfId="4" applyFont="1" applyAlignment="1">
      <alignment vertical="center"/>
    </xf>
    <xf numFmtId="164" fontId="59" fillId="0" borderId="17" xfId="4" applyNumberFormat="1" applyFont="1" applyBorder="1" applyAlignment="1">
      <alignment vertical="center"/>
    </xf>
    <xf numFmtId="164" fontId="59" fillId="0" borderId="17" xfId="0" applyNumberFormat="1" applyFont="1" applyBorder="1" applyAlignment="1">
      <alignment vertical="center"/>
    </xf>
    <xf numFmtId="164" fontId="59" fillId="0" borderId="17" xfId="1" applyNumberFormat="1" applyFont="1" applyBorder="1" applyAlignment="1">
      <alignment vertical="center"/>
    </xf>
    <xf numFmtId="164" fontId="59" fillId="6" borderId="17" xfId="0" applyNumberFormat="1" applyFont="1" applyFill="1" applyBorder="1" applyAlignment="1">
      <alignment vertical="center"/>
    </xf>
    <xf numFmtId="9" fontId="59" fillId="6" borderId="17" xfId="4" applyFont="1" applyFill="1" applyBorder="1" applyAlignment="1">
      <alignment vertical="center"/>
    </xf>
    <xf numFmtId="164" fontId="59" fillId="3" borderId="17" xfId="1" applyNumberFormat="1" applyFont="1" applyFill="1" applyBorder="1" applyAlignment="1">
      <alignment vertical="center"/>
    </xf>
    <xf numFmtId="9" fontId="59" fillId="3" borderId="17" xfId="4" applyFont="1" applyFill="1" applyBorder="1" applyAlignment="1">
      <alignment vertical="center"/>
    </xf>
    <xf numFmtId="43" fontId="59" fillId="0" borderId="17" xfId="0" applyNumberFormat="1" applyFont="1" applyBorder="1" applyAlignment="1">
      <alignment vertical="center"/>
    </xf>
    <xf numFmtId="0" fontId="59" fillId="0" borderId="17" xfId="0" applyFont="1" applyBorder="1" applyAlignment="1">
      <alignment vertical="center"/>
    </xf>
    <xf numFmtId="0" fontId="59" fillId="0" borderId="4" xfId="0" applyFont="1" applyBorder="1" applyAlignment="1">
      <alignment horizontal="center" vertical="center"/>
    </xf>
    <xf numFmtId="0" fontId="60" fillId="4" borderId="4" xfId="0" applyFont="1" applyFill="1" applyBorder="1" applyAlignment="1">
      <alignment horizontal="left" vertical="center" wrapText="1"/>
    </xf>
    <xf numFmtId="0" fontId="59" fillId="4" borderId="4" xfId="0" applyFont="1" applyFill="1" applyBorder="1" applyAlignment="1">
      <alignment horizontal="center" vertical="center"/>
    </xf>
    <xf numFmtId="164" fontId="59" fillId="4" borderId="4" xfId="1" applyNumberFormat="1" applyFont="1" applyFill="1" applyBorder="1" applyAlignment="1">
      <alignment horizontal="center" vertical="center" shrinkToFit="1"/>
    </xf>
    <xf numFmtId="41" fontId="60" fillId="0" borderId="4" xfId="0" applyNumberFormat="1" applyFont="1" applyBorder="1" applyAlignment="1">
      <alignment horizontal="center" vertical="center" shrinkToFit="1"/>
    </xf>
    <xf numFmtId="0" fontId="59" fillId="0" borderId="4" xfId="0" applyFont="1" applyBorder="1" applyAlignment="1">
      <alignment vertical="center"/>
    </xf>
    <xf numFmtId="9" fontId="59" fillId="0" borderId="4" xfId="0" applyNumberFormat="1" applyFont="1" applyBorder="1" applyAlignment="1">
      <alignment vertical="center"/>
    </xf>
    <xf numFmtId="164" fontId="59" fillId="0" borderId="4" xfId="1" applyNumberFormat="1" applyFont="1" applyBorder="1" applyAlignment="1">
      <alignment vertical="center"/>
    </xf>
    <xf numFmtId="43" fontId="59" fillId="0" borderId="4" xfId="0" applyNumberFormat="1" applyFont="1" applyBorder="1" applyAlignment="1">
      <alignment horizontal="center" vertical="center" shrinkToFit="1"/>
    </xf>
    <xf numFmtId="9" fontId="60" fillId="4" borderId="0" xfId="4" applyFont="1" applyFill="1" applyAlignment="1">
      <alignment vertical="center"/>
    </xf>
    <xf numFmtId="164" fontId="60" fillId="4" borderId="0" xfId="1" applyNumberFormat="1" applyFont="1" applyFill="1" applyAlignment="1">
      <alignment vertical="center"/>
    </xf>
    <xf numFmtId="0" fontId="59" fillId="4" borderId="4" xfId="0" applyFont="1" applyFill="1" applyBorder="1" applyAlignment="1">
      <alignment horizontal="left" vertical="center" wrapText="1"/>
    </xf>
    <xf numFmtId="43" fontId="59" fillId="4" borderId="4" xfId="0" applyNumberFormat="1" applyFont="1" applyFill="1" applyBorder="1" applyAlignment="1">
      <alignment horizontal="center" vertical="center" shrinkToFit="1"/>
    </xf>
    <xf numFmtId="164" fontId="59" fillId="4" borderId="0" xfId="1" applyNumberFormat="1" applyFont="1" applyFill="1" applyAlignment="1">
      <alignment vertical="center"/>
    </xf>
    <xf numFmtId="164" fontId="61" fillId="7" borderId="16" xfId="1" applyNumberFormat="1" applyFont="1" applyFill="1" applyBorder="1" applyAlignment="1">
      <alignment horizontal="center" vertical="center" wrapText="1"/>
    </xf>
    <xf numFmtId="0" fontId="59" fillId="0" borderId="0" xfId="0" applyFont="1" applyAlignment="1">
      <alignment vertical="center"/>
    </xf>
    <xf numFmtId="0" fontId="60" fillId="4" borderId="4" xfId="0" applyFont="1" applyFill="1" applyBorder="1" applyAlignment="1">
      <alignment vertical="center" wrapText="1"/>
    </xf>
    <xf numFmtId="0" fontId="59" fillId="4" borderId="4" xfId="0" applyFont="1" applyFill="1" applyBorder="1" applyAlignment="1">
      <alignment vertical="center"/>
    </xf>
    <xf numFmtId="9" fontId="59" fillId="4" borderId="0" xfId="4" applyFont="1" applyFill="1" applyAlignment="1">
      <alignment vertical="center"/>
    </xf>
    <xf numFmtId="0" fontId="59" fillId="4" borderId="0" xfId="0" applyFont="1" applyFill="1" applyAlignment="1">
      <alignment vertical="center"/>
    </xf>
    <xf numFmtId="0" fontId="59" fillId="4" borderId="17" xfId="0" applyFont="1" applyFill="1" applyBorder="1" applyAlignment="1">
      <alignment vertical="center"/>
    </xf>
    <xf numFmtId="0" fontId="59" fillId="0" borderId="4" xfId="0" applyFont="1" applyBorder="1" applyAlignment="1">
      <alignment horizontal="left" vertical="center" wrapText="1"/>
    </xf>
    <xf numFmtId="164" fontId="59" fillId="0" borderId="4" xfId="1" applyNumberFormat="1" applyFont="1" applyBorder="1" applyAlignment="1">
      <alignment horizontal="center" vertical="center" shrinkToFit="1"/>
    </xf>
    <xf numFmtId="9" fontId="59" fillId="0" borderId="27" xfId="0" applyNumberFormat="1" applyFont="1" applyBorder="1" applyAlignment="1">
      <alignment vertical="center"/>
    </xf>
    <xf numFmtId="164" fontId="56" fillId="0" borderId="17" xfId="4" applyNumberFormat="1" applyFont="1" applyBorder="1" applyAlignment="1">
      <alignment vertical="center"/>
    </xf>
    <xf numFmtId="164" fontId="56" fillId="0" borderId="17" xfId="0" applyNumberFormat="1" applyFont="1" applyBorder="1" applyAlignment="1">
      <alignment vertical="center"/>
    </xf>
    <xf numFmtId="0" fontId="59" fillId="0" borderId="27" xfId="0" applyFont="1" applyBorder="1" applyAlignment="1">
      <alignment horizontal="center" vertical="center"/>
    </xf>
    <xf numFmtId="0" fontId="59" fillId="0" borderId="27" xfId="0" applyFont="1" applyBorder="1" applyAlignment="1">
      <alignment horizontal="left" vertical="center" wrapText="1"/>
    </xf>
    <xf numFmtId="0" fontId="60" fillId="4" borderId="27" xfId="0" applyFont="1" applyFill="1" applyBorder="1" applyAlignment="1">
      <alignment horizontal="center" vertical="center"/>
    </xf>
    <xf numFmtId="164" fontId="59" fillId="4" borderId="27" xfId="1" applyNumberFormat="1" applyFont="1" applyFill="1" applyBorder="1" applyAlignment="1">
      <alignment horizontal="center" vertical="center" shrinkToFit="1"/>
    </xf>
    <xf numFmtId="41" fontId="60" fillId="0" borderId="27" xfId="0" applyNumberFormat="1" applyFont="1" applyBorder="1" applyAlignment="1">
      <alignment horizontal="center" vertical="center" shrinkToFit="1"/>
    </xf>
    <xf numFmtId="0" fontId="59" fillId="0" borderId="27" xfId="0" applyFont="1" applyBorder="1" applyAlignment="1">
      <alignment vertical="center"/>
    </xf>
    <xf numFmtId="164" fontId="59" fillId="0" borderId="27" xfId="1" applyNumberFormat="1" applyFont="1" applyBorder="1" applyAlignment="1">
      <alignment vertical="center"/>
    </xf>
    <xf numFmtId="43" fontId="59" fillId="4" borderId="27" xfId="0" applyNumberFormat="1" applyFont="1" applyFill="1" applyBorder="1" applyAlignment="1">
      <alignment horizontal="center" vertical="center" shrinkToFit="1"/>
    </xf>
    <xf numFmtId="43" fontId="59" fillId="0" borderId="0" xfId="0" applyNumberFormat="1" applyFont="1" applyAlignment="1">
      <alignment vertical="center"/>
    </xf>
    <xf numFmtId="0" fontId="56" fillId="0" borderId="17" xfId="0" applyFont="1" applyBorder="1" applyAlignment="1">
      <alignment vertical="center"/>
    </xf>
    <xf numFmtId="0" fontId="56" fillId="3" borderId="21" xfId="0" applyFont="1" applyFill="1" applyBorder="1" applyAlignment="1">
      <alignment horizontal="center" vertical="center"/>
    </xf>
    <xf numFmtId="0" fontId="56" fillId="3" borderId="23" xfId="0" applyFont="1" applyFill="1" applyBorder="1" applyAlignment="1">
      <alignment horizontal="left" vertical="center"/>
    </xf>
    <xf numFmtId="0" fontId="56" fillId="3" borderId="23" xfId="0" applyFont="1" applyFill="1" applyBorder="1" applyAlignment="1">
      <alignment horizontal="center" vertical="center"/>
    </xf>
    <xf numFmtId="164" fontId="56" fillId="3" borderId="19" xfId="3" applyNumberFormat="1" applyFont="1" applyFill="1" applyBorder="1" applyAlignment="1">
      <alignment horizontal="center" vertical="center"/>
    </xf>
    <xf numFmtId="9" fontId="56" fillId="3" borderId="23" xfId="4" applyFont="1" applyFill="1" applyBorder="1" applyAlignment="1">
      <alignment horizontal="right" vertical="center"/>
    </xf>
    <xf numFmtId="164" fontId="56" fillId="3" borderId="23" xfId="3" applyNumberFormat="1" applyFont="1" applyFill="1" applyBorder="1" applyAlignment="1">
      <alignment horizontal="center" vertical="center"/>
    </xf>
    <xf numFmtId="0" fontId="54" fillId="3" borderId="22" xfId="0" applyFont="1" applyFill="1" applyBorder="1" applyAlignment="1">
      <alignment horizontal="center" vertical="center"/>
    </xf>
    <xf numFmtId="0" fontId="59" fillId="0" borderId="6" xfId="0" applyFont="1" applyBorder="1" applyAlignment="1">
      <alignment horizontal="center" vertical="center"/>
    </xf>
    <xf numFmtId="0" fontId="59" fillId="4" borderId="6" xfId="0" applyFont="1" applyFill="1" applyBorder="1" applyAlignment="1">
      <alignment horizontal="left" vertical="center" wrapText="1"/>
    </xf>
    <xf numFmtId="164" fontId="59" fillId="4" borderId="6" xfId="1" applyNumberFormat="1" applyFont="1" applyFill="1" applyBorder="1" applyAlignment="1">
      <alignment horizontal="center" vertical="center" shrinkToFit="1"/>
    </xf>
    <xf numFmtId="41" fontId="60" fillId="0" borderId="6" xfId="0" applyNumberFormat="1" applyFont="1" applyBorder="1" applyAlignment="1">
      <alignment horizontal="center" vertical="center" shrinkToFit="1"/>
    </xf>
    <xf numFmtId="0" fontId="59" fillId="0" borderId="6" xfId="0" applyFont="1" applyBorder="1" applyAlignment="1">
      <alignment vertical="center"/>
    </xf>
    <xf numFmtId="9" fontId="59" fillId="0" borderId="6" xfId="0" applyNumberFormat="1" applyFont="1" applyBorder="1" applyAlignment="1">
      <alignment vertical="center"/>
    </xf>
    <xf numFmtId="164" fontId="60" fillId="4" borderId="6" xfId="1" applyNumberFormat="1" applyFont="1" applyFill="1" applyBorder="1" applyAlignment="1">
      <alignment vertical="center"/>
    </xf>
    <xf numFmtId="164" fontId="59" fillId="0" borderId="6" xfId="1" applyNumberFormat="1" applyFont="1" applyBorder="1" applyAlignment="1">
      <alignment vertical="center"/>
    </xf>
    <xf numFmtId="43" fontId="59" fillId="0" borderId="6" xfId="0" applyNumberFormat="1" applyFont="1" applyBorder="1" applyAlignment="1">
      <alignment horizontal="center" vertical="center" shrinkToFit="1"/>
    </xf>
    <xf numFmtId="164" fontId="62" fillId="4" borderId="0" xfId="1" applyNumberFormat="1" applyFont="1" applyFill="1" applyAlignment="1">
      <alignment vertical="center"/>
    </xf>
    <xf numFmtId="0" fontId="59" fillId="4" borderId="27" xfId="0" applyFont="1" applyFill="1" applyBorder="1" applyAlignment="1">
      <alignment horizontal="left" vertical="center" wrapText="1"/>
    </xf>
    <xf numFmtId="0" fontId="59" fillId="4" borderId="27" xfId="0" applyFont="1" applyFill="1" applyBorder="1" applyAlignment="1">
      <alignment horizontal="center" vertical="center"/>
    </xf>
    <xf numFmtId="164" fontId="60" fillId="4" borderId="27" xfId="1" applyNumberFormat="1" applyFont="1" applyFill="1" applyBorder="1" applyAlignment="1">
      <alignment vertical="center"/>
    </xf>
    <xf numFmtId="43" fontId="59" fillId="0" borderId="27" xfId="0" applyNumberFormat="1" applyFont="1" applyBorder="1" applyAlignment="1">
      <alignment horizontal="center" vertical="center" shrinkToFit="1"/>
    </xf>
    <xf numFmtId="164" fontId="62" fillId="0" borderId="0" xfId="2" applyNumberFormat="1" applyFont="1" applyAlignment="1">
      <alignment vertical="center"/>
    </xf>
    <xf numFmtId="0" fontId="63" fillId="3" borderId="21" xfId="28" applyFont="1" applyFill="1" applyBorder="1" applyAlignment="1">
      <alignment vertical="center"/>
    </xf>
    <xf numFmtId="0" fontId="56" fillId="3" borderId="23" xfId="28" applyFont="1" applyFill="1" applyBorder="1" applyAlignment="1">
      <alignment horizontal="left" vertical="center" wrapText="1"/>
    </xf>
    <xf numFmtId="0" fontId="59" fillId="3" borderId="23" xfId="28" applyFont="1" applyFill="1" applyBorder="1" applyAlignment="1">
      <alignment horizontal="center" vertical="center"/>
    </xf>
    <xf numFmtId="164" fontId="59" fillId="3" borderId="23" xfId="3" applyNumberFormat="1" applyFont="1" applyFill="1" applyBorder="1" applyAlignment="1">
      <alignment horizontal="center" vertical="center" shrinkToFit="1"/>
    </xf>
    <xf numFmtId="41" fontId="60" fillId="3" borderId="23" xfId="28" applyNumberFormat="1" applyFont="1" applyFill="1" applyBorder="1" applyAlignment="1">
      <alignment horizontal="center" vertical="center" shrinkToFit="1"/>
    </xf>
    <xf numFmtId="0" fontId="59" fillId="3" borderId="23" xfId="28" applyFont="1" applyFill="1" applyBorder="1" applyAlignment="1">
      <alignment vertical="center"/>
    </xf>
    <xf numFmtId="9" fontId="56" fillId="3" borderId="23" xfId="35" applyFont="1" applyFill="1" applyBorder="1" applyAlignment="1">
      <alignment horizontal="right" vertical="center"/>
    </xf>
    <xf numFmtId="164" fontId="59" fillId="3" borderId="23" xfId="3" applyNumberFormat="1" applyFont="1" applyFill="1" applyBorder="1" applyAlignment="1">
      <alignment vertical="center"/>
    </xf>
    <xf numFmtId="43" fontId="59" fillId="3" borderId="22" xfId="28" applyNumberFormat="1" applyFont="1" applyFill="1" applyBorder="1" applyAlignment="1">
      <alignment horizontal="center" vertical="center" shrinkToFit="1"/>
    </xf>
    <xf numFmtId="164" fontId="59" fillId="0" borderId="22" xfId="3" applyNumberFormat="1" applyFont="1" applyBorder="1" applyAlignment="1">
      <alignment vertical="center"/>
    </xf>
    <xf numFmtId="9" fontId="59" fillId="0" borderId="0" xfId="35" applyFont="1" applyAlignment="1">
      <alignment vertical="center"/>
    </xf>
    <xf numFmtId="164" fontId="59" fillId="0" borderId="0" xfId="3" applyNumberFormat="1" applyFont="1" applyAlignment="1">
      <alignment vertical="center"/>
    </xf>
    <xf numFmtId="0" fontId="59" fillId="0" borderId="0" xfId="28" applyFont="1" applyAlignment="1">
      <alignment vertical="center"/>
    </xf>
    <xf numFmtId="164" fontId="59" fillId="0" borderId="17" xfId="35" applyNumberFormat="1" applyFont="1" applyBorder="1" applyAlignment="1">
      <alignment vertical="center"/>
    </xf>
    <xf numFmtId="164" fontId="59" fillId="0" borderId="17" xfId="28" applyNumberFormat="1" applyFont="1" applyBorder="1" applyAlignment="1">
      <alignment vertical="center"/>
    </xf>
    <xf numFmtId="164" fontId="59" fillId="0" borderId="17" xfId="3" applyNumberFormat="1" applyFont="1" applyBorder="1" applyAlignment="1">
      <alignment vertical="center"/>
    </xf>
    <xf numFmtId="164" fontId="59" fillId="6" borderId="17" xfId="28" applyNumberFormat="1" applyFont="1" applyFill="1" applyBorder="1" applyAlignment="1">
      <alignment vertical="center"/>
    </xf>
    <xf numFmtId="9" fontId="59" fillId="6" borderId="17" xfId="35" applyFont="1" applyFill="1" applyBorder="1" applyAlignment="1">
      <alignment vertical="center"/>
    </xf>
    <xf numFmtId="164" fontId="59" fillId="3" borderId="17" xfId="3" applyNumberFormat="1" applyFont="1" applyFill="1" applyBorder="1" applyAlignment="1">
      <alignment vertical="center"/>
    </xf>
    <xf numFmtId="9" fontId="59" fillId="3" borderId="17" xfId="35" applyFont="1" applyFill="1" applyBorder="1" applyAlignment="1">
      <alignment vertical="center"/>
    </xf>
    <xf numFmtId="0" fontId="59" fillId="0" borderId="17" xfId="28" applyFont="1" applyBorder="1" applyAlignment="1">
      <alignment vertical="center"/>
    </xf>
    <xf numFmtId="0" fontId="60" fillId="4" borderId="6" xfId="0" applyFont="1" applyFill="1" applyBorder="1" applyAlignment="1">
      <alignment horizontal="center" vertical="center"/>
    </xf>
    <xf numFmtId="41" fontId="60" fillId="4" borderId="6" xfId="0" applyNumberFormat="1" applyFont="1" applyFill="1" applyBorder="1" applyAlignment="1">
      <alignment horizontal="center" vertical="center" shrinkToFit="1"/>
    </xf>
    <xf numFmtId="0" fontId="60" fillId="4" borderId="6" xfId="0" applyFont="1" applyFill="1" applyBorder="1" applyAlignment="1">
      <alignment vertical="center"/>
    </xf>
    <xf numFmtId="9" fontId="59" fillId="4" borderId="6" xfId="0" applyNumberFormat="1" applyFont="1" applyFill="1" applyBorder="1" applyAlignment="1">
      <alignment vertical="center"/>
    </xf>
    <xf numFmtId="164" fontId="59" fillId="4" borderId="6" xfId="1" applyNumberFormat="1" applyFont="1" applyFill="1" applyBorder="1" applyAlignment="1">
      <alignment vertical="center"/>
    </xf>
    <xf numFmtId="0" fontId="60" fillId="4" borderId="6" xfId="0" applyFont="1" applyFill="1" applyBorder="1" applyAlignment="1">
      <alignment horizontal="center" vertical="center" shrinkToFit="1"/>
    </xf>
    <xf numFmtId="164" fontId="59" fillId="0" borderId="27" xfId="1" applyNumberFormat="1" applyFont="1" applyBorder="1" applyAlignment="1">
      <alignment horizontal="center" vertical="center" shrinkToFit="1"/>
    </xf>
    <xf numFmtId="0" fontId="63" fillId="3" borderId="21" xfId="0" applyFont="1" applyFill="1" applyBorder="1" applyAlignment="1">
      <alignment vertical="center"/>
    </xf>
    <xf numFmtId="0" fontId="56" fillId="3" borderId="23" xfId="0" applyFont="1" applyFill="1" applyBorder="1" applyAlignment="1">
      <alignment vertical="center"/>
    </xf>
    <xf numFmtId="41" fontId="60" fillId="3" borderId="22" xfId="0" applyNumberFormat="1" applyFont="1" applyFill="1" applyBorder="1" applyAlignment="1">
      <alignment horizontal="center" vertical="center" shrinkToFit="1"/>
    </xf>
    <xf numFmtId="41" fontId="63" fillId="3" borderId="19" xfId="0" applyNumberFormat="1" applyFont="1" applyFill="1" applyBorder="1" applyAlignment="1">
      <alignment horizontal="center" vertical="center" shrinkToFit="1"/>
    </xf>
    <xf numFmtId="0" fontId="56" fillId="3" borderId="19" xfId="0" applyFont="1" applyFill="1" applyBorder="1" applyAlignment="1">
      <alignment vertical="center"/>
    </xf>
    <xf numFmtId="9" fontId="56" fillId="3" borderId="19" xfId="35" applyFont="1" applyFill="1" applyBorder="1" applyAlignment="1">
      <alignment horizontal="right" vertical="center"/>
    </xf>
    <xf numFmtId="164" fontId="56" fillId="3" borderId="19" xfId="1" applyNumberFormat="1" applyFont="1" applyFill="1" applyBorder="1" applyAlignment="1">
      <alignment vertical="center"/>
    </xf>
    <xf numFmtId="0" fontId="64" fillId="3" borderId="19" xfId="0" applyFont="1" applyFill="1" applyBorder="1" applyAlignment="1">
      <alignment horizontal="center" vertical="center" shrinkToFit="1"/>
    </xf>
    <xf numFmtId="0" fontId="60" fillId="4" borderId="25" xfId="0" applyFont="1" applyFill="1" applyBorder="1" applyAlignment="1">
      <alignment horizontal="center" vertical="center"/>
    </xf>
    <xf numFmtId="0" fontId="60" fillId="4" borderId="25" xfId="0" applyFont="1" applyFill="1" applyBorder="1" applyAlignment="1">
      <alignment horizontal="left" vertical="center" wrapText="1"/>
    </xf>
    <xf numFmtId="41" fontId="60" fillId="4" borderId="25" xfId="0" applyNumberFormat="1" applyFont="1" applyFill="1" applyBorder="1" applyAlignment="1">
      <alignment horizontal="center" vertical="center" shrinkToFit="1"/>
    </xf>
    <xf numFmtId="0" fontId="59" fillId="4" borderId="25" xfId="0" applyFont="1" applyFill="1" applyBorder="1" applyAlignment="1">
      <alignment vertical="center"/>
    </xf>
    <xf numFmtId="9" fontId="59" fillId="4" borderId="25" xfId="0" applyNumberFormat="1" applyFont="1" applyFill="1" applyBorder="1" applyAlignment="1">
      <alignment vertical="center"/>
    </xf>
    <xf numFmtId="164" fontId="60" fillId="4" borderId="25" xfId="1" applyNumberFormat="1" applyFont="1" applyFill="1" applyBorder="1" applyAlignment="1">
      <alignment vertical="center"/>
    </xf>
    <xf numFmtId="164" fontId="59" fillId="4" borderId="25" xfId="1" applyNumberFormat="1" applyFont="1" applyFill="1" applyBorder="1" applyAlignment="1">
      <alignment vertical="center"/>
    </xf>
    <xf numFmtId="0" fontId="60" fillId="4" borderId="25" xfId="0" applyFont="1" applyFill="1" applyBorder="1" applyAlignment="1">
      <alignment horizontal="center" vertical="center" wrapText="1" shrinkToFit="1"/>
    </xf>
    <xf numFmtId="0" fontId="60" fillId="4" borderId="4" xfId="0" applyFont="1" applyFill="1" applyBorder="1" applyAlignment="1">
      <alignment horizontal="center" vertical="center"/>
    </xf>
    <xf numFmtId="41" fontId="60" fillId="4" borderId="4" xfId="0" applyNumberFormat="1" applyFont="1" applyFill="1" applyBorder="1" applyAlignment="1">
      <alignment horizontal="center" vertical="center" shrinkToFit="1"/>
    </xf>
    <xf numFmtId="164" fontId="59" fillId="4" borderId="4" xfId="1" applyNumberFormat="1" applyFont="1" applyFill="1" applyBorder="1" applyAlignment="1">
      <alignment vertical="center"/>
    </xf>
    <xf numFmtId="0" fontId="60" fillId="4" borderId="4" xfId="0" applyFont="1" applyFill="1" applyBorder="1" applyAlignment="1">
      <alignment horizontal="center" vertical="center" wrapText="1" shrinkToFit="1"/>
    </xf>
    <xf numFmtId="0" fontId="60" fillId="4" borderId="5" xfId="0" applyFont="1" applyFill="1" applyBorder="1" applyAlignment="1">
      <alignment horizontal="center" vertical="center"/>
    </xf>
    <xf numFmtId="0" fontId="60" fillId="4" borderId="5" xfId="0" applyFont="1" applyFill="1" applyBorder="1" applyAlignment="1">
      <alignment horizontal="left" vertical="center" wrapText="1"/>
    </xf>
    <xf numFmtId="0" fontId="59" fillId="4" borderId="5" xfId="0" applyFont="1" applyFill="1" applyBorder="1" applyAlignment="1">
      <alignment horizontal="center" vertical="center"/>
    </xf>
    <xf numFmtId="164" fontId="59" fillId="4" borderId="5" xfId="1" applyNumberFormat="1" applyFont="1" applyFill="1" applyBorder="1" applyAlignment="1">
      <alignment horizontal="center" vertical="center" shrinkToFit="1"/>
    </xf>
    <xf numFmtId="41" fontId="60" fillId="4" borderId="5" xfId="0" applyNumberFormat="1" applyFont="1" applyFill="1" applyBorder="1" applyAlignment="1">
      <alignment horizontal="center" vertical="center" shrinkToFit="1"/>
    </xf>
    <xf numFmtId="0" fontId="59" fillId="4" borderId="5" xfId="0" applyFont="1" applyFill="1" applyBorder="1" applyAlignment="1">
      <alignment vertical="center"/>
    </xf>
    <xf numFmtId="164" fontId="60" fillId="4" borderId="5" xfId="1" applyNumberFormat="1" applyFont="1" applyFill="1" applyBorder="1" applyAlignment="1">
      <alignment vertical="center"/>
    </xf>
    <xf numFmtId="164" fontId="59" fillId="4" borderId="5" xfId="1" applyNumberFormat="1" applyFont="1" applyFill="1" applyBorder="1" applyAlignment="1">
      <alignment vertical="center"/>
    </xf>
    <xf numFmtId="0" fontId="60" fillId="4" borderId="5" xfId="0" applyFont="1" applyFill="1" applyBorder="1" applyAlignment="1">
      <alignment horizontal="center" vertical="center" wrapText="1" shrinkToFit="1"/>
    </xf>
    <xf numFmtId="0" fontId="56" fillId="3" borderId="19" xfId="0" applyFont="1" applyFill="1" applyBorder="1" applyAlignment="1">
      <alignment horizontal="left" vertical="center"/>
    </xf>
    <xf numFmtId="0" fontId="56" fillId="3" borderId="19" xfId="0" applyFont="1" applyFill="1" applyBorder="1" applyAlignment="1">
      <alignment horizontal="center" vertical="center"/>
    </xf>
    <xf numFmtId="9" fontId="56" fillId="3" borderId="19" xfId="4" applyFont="1" applyFill="1" applyBorder="1" applyAlignment="1">
      <alignment horizontal="right" vertical="center"/>
    </xf>
    <xf numFmtId="0" fontId="54" fillId="3" borderId="19" xfId="0" applyFont="1" applyFill="1" applyBorder="1" applyAlignment="1">
      <alignment horizontal="center" vertical="center"/>
    </xf>
    <xf numFmtId="164" fontId="62" fillId="3" borderId="0" xfId="2" applyNumberFormat="1" applyFont="1" applyFill="1" applyAlignment="1">
      <alignment vertical="center"/>
    </xf>
    <xf numFmtId="9" fontId="59" fillId="3" borderId="0" xfId="35" applyFont="1" applyFill="1" applyAlignment="1">
      <alignment vertical="center"/>
    </xf>
    <xf numFmtId="164" fontId="59" fillId="3" borderId="0" xfId="1" applyNumberFormat="1" applyFont="1" applyFill="1" applyAlignment="1">
      <alignment vertical="center"/>
    </xf>
    <xf numFmtId="0" fontId="59" fillId="3" borderId="0" xfId="0" applyFont="1" applyFill="1" applyAlignment="1">
      <alignment vertical="center"/>
    </xf>
    <xf numFmtId="0" fontId="60" fillId="4" borderId="4" xfId="0" applyFont="1" applyFill="1" applyBorder="1" applyAlignment="1">
      <alignment vertical="center"/>
    </xf>
    <xf numFmtId="9" fontId="59" fillId="4" borderId="4" xfId="0" applyNumberFormat="1" applyFont="1" applyFill="1" applyBorder="1" applyAlignment="1">
      <alignment vertical="center"/>
    </xf>
    <xf numFmtId="0" fontId="60" fillId="4" borderId="4" xfId="0" applyFont="1" applyFill="1" applyBorder="1" applyAlignment="1">
      <alignment horizontal="center" vertical="center" shrinkToFit="1"/>
    </xf>
    <xf numFmtId="0" fontId="59" fillId="0" borderId="5" xfId="0" applyFont="1" applyBorder="1" applyAlignment="1">
      <alignment horizontal="center" vertical="center"/>
    </xf>
    <xf numFmtId="0" fontId="59" fillId="4" borderId="5" xfId="0" applyFont="1" applyFill="1" applyBorder="1" applyAlignment="1">
      <alignment horizontal="left" vertical="center" wrapText="1"/>
    </xf>
    <xf numFmtId="0" fontId="60" fillId="4" borderId="5" xfId="0" applyFont="1" applyFill="1" applyBorder="1" applyAlignment="1">
      <alignment vertical="center"/>
    </xf>
    <xf numFmtId="9" fontId="59" fillId="4" borderId="5" xfId="0" applyNumberFormat="1" applyFont="1" applyFill="1" applyBorder="1" applyAlignment="1">
      <alignment vertical="center"/>
    </xf>
    <xf numFmtId="0" fontId="60" fillId="4" borderId="5" xfId="0" applyFont="1" applyFill="1" applyBorder="1" applyAlignment="1">
      <alignment horizontal="center" vertical="center" shrinkToFit="1"/>
    </xf>
    <xf numFmtId="0" fontId="56" fillId="3" borderId="19" xfId="0" applyFont="1" applyFill="1" applyBorder="1" applyAlignment="1">
      <alignment horizontal="right" vertical="center"/>
    </xf>
    <xf numFmtId="164" fontId="56" fillId="3" borderId="19" xfId="1" applyNumberFormat="1" applyFont="1" applyFill="1" applyBorder="1" applyAlignment="1">
      <alignment horizontal="center" vertical="center"/>
    </xf>
    <xf numFmtId="0" fontId="59" fillId="0" borderId="4" xfId="0" applyFont="1" applyBorder="1" applyAlignment="1">
      <alignment horizontal="left" vertical="center" wrapText="1" indent="1"/>
    </xf>
    <xf numFmtId="0" fontId="59" fillId="4" borderId="4" xfId="0" applyFont="1" applyFill="1" applyBorder="1" applyAlignment="1">
      <alignment horizontal="right" vertical="center"/>
    </xf>
    <xf numFmtId="164" fontId="60" fillId="0" borderId="4" xfId="1" applyNumberFormat="1" applyFont="1" applyBorder="1" applyAlignment="1">
      <alignment horizontal="center" vertical="center" shrinkToFit="1"/>
    </xf>
    <xf numFmtId="164" fontId="59" fillId="0" borderId="4" xfId="0" applyNumberFormat="1" applyFont="1" applyBorder="1" applyAlignment="1">
      <alignment vertical="center"/>
    </xf>
    <xf numFmtId="41" fontId="59" fillId="0" borderId="6" xfId="0" applyNumberFormat="1" applyFont="1" applyBorder="1" applyAlignment="1">
      <alignment horizontal="center" vertical="center" shrinkToFit="1"/>
    </xf>
    <xf numFmtId="0" fontId="59" fillId="0" borderId="5" xfId="0" applyFont="1" applyBorder="1" applyAlignment="1">
      <alignment horizontal="left" vertical="center" wrapText="1" indent="1"/>
    </xf>
    <xf numFmtId="0" fontId="59" fillId="4" borderId="5" xfId="0" applyFont="1" applyFill="1" applyBorder="1" applyAlignment="1">
      <alignment horizontal="right" vertical="center"/>
    </xf>
    <xf numFmtId="164" fontId="60" fillId="0" borderId="5" xfId="1" applyNumberFormat="1" applyFont="1" applyBorder="1" applyAlignment="1">
      <alignment horizontal="center" vertical="center" shrinkToFit="1"/>
    </xf>
    <xf numFmtId="164" fontId="59" fillId="0" borderId="5" xfId="1" applyNumberFormat="1" applyFont="1" applyBorder="1" applyAlignment="1">
      <alignment vertical="center"/>
    </xf>
    <xf numFmtId="0" fontId="59" fillId="0" borderId="5" xfId="0" applyFont="1" applyBorder="1" applyAlignment="1">
      <alignment vertical="center"/>
    </xf>
    <xf numFmtId="0" fontId="56" fillId="3" borderId="2" xfId="0" applyFont="1" applyFill="1" applyBorder="1" applyAlignment="1">
      <alignment horizontal="centerContinuous" vertical="center" wrapText="1"/>
    </xf>
    <xf numFmtId="0" fontId="56" fillId="3" borderId="2" xfId="0" applyFont="1" applyFill="1" applyBorder="1" applyAlignment="1">
      <alignment horizontal="right" vertical="center" shrinkToFit="1"/>
    </xf>
    <xf numFmtId="164" fontId="56" fillId="3" borderId="2" xfId="0" applyNumberFormat="1" applyFont="1" applyFill="1" applyBorder="1" applyAlignment="1">
      <alignment horizontal="right" vertical="center" shrinkToFit="1"/>
    </xf>
    <xf numFmtId="164" fontId="56" fillId="3" borderId="2" xfId="3" applyNumberFormat="1" applyFont="1" applyFill="1" applyBorder="1" applyAlignment="1">
      <alignment horizontal="right" vertical="center" shrinkToFit="1"/>
    </xf>
    <xf numFmtId="9" fontId="56" fillId="3" borderId="2" xfId="4" applyFont="1" applyFill="1" applyBorder="1" applyAlignment="1">
      <alignment horizontal="right" vertical="center" shrinkToFit="1"/>
    </xf>
    <xf numFmtId="0" fontId="59" fillId="3" borderId="2" xfId="0" applyFont="1" applyFill="1" applyBorder="1" applyAlignment="1">
      <alignment horizontal="center" vertical="center"/>
    </xf>
    <xf numFmtId="164" fontId="59" fillId="0" borderId="0" xfId="1" applyNumberFormat="1" applyFont="1"/>
    <xf numFmtId="9" fontId="59" fillId="0" borderId="0" xfId="4" applyFont="1"/>
    <xf numFmtId="0" fontId="59" fillId="0" borderId="0" xfId="0" applyFont="1"/>
    <xf numFmtId="0" fontId="59" fillId="0" borderId="17" xfId="0" applyFont="1" applyBorder="1"/>
    <xf numFmtId="164" fontId="56" fillId="0" borderId="17" xfId="1" applyNumberFormat="1" applyFont="1" applyBorder="1"/>
    <xf numFmtId="164" fontId="59" fillId="4" borderId="17" xfId="0" applyNumberFormat="1" applyFont="1" applyFill="1" applyBorder="1" applyAlignment="1">
      <alignment vertical="center"/>
    </xf>
    <xf numFmtId="164" fontId="59" fillId="0" borderId="17" xfId="1" applyNumberFormat="1" applyFont="1" applyBorder="1"/>
    <xf numFmtId="164" fontId="59" fillId="0" borderId="17" xfId="0" applyNumberFormat="1" applyFont="1" applyBorder="1"/>
    <xf numFmtId="9" fontId="59" fillId="3" borderId="2" xfId="4" applyFont="1" applyFill="1" applyBorder="1" applyAlignment="1">
      <alignment horizontal="right" vertical="center" shrinkToFit="1"/>
    </xf>
    <xf numFmtId="164" fontId="59" fillId="3" borderId="2" xfId="1" applyNumberFormat="1" applyFont="1" applyFill="1" applyBorder="1" applyAlignment="1">
      <alignment horizontal="right" vertical="center"/>
    </xf>
    <xf numFmtId="0" fontId="56" fillId="3" borderId="20" xfId="0" applyFont="1" applyFill="1" applyBorder="1" applyAlignment="1">
      <alignment horizontal="centerContinuous" vertical="center" wrapText="1"/>
    </xf>
    <xf numFmtId="0" fontId="56" fillId="3" borderId="20" xfId="0" applyFont="1" applyFill="1" applyBorder="1" applyAlignment="1">
      <alignment horizontal="center" vertical="center"/>
    </xf>
    <xf numFmtId="0" fontId="56" fillId="3" borderId="20" xfId="0" applyFont="1" applyFill="1" applyBorder="1" applyAlignment="1">
      <alignment horizontal="right" vertical="center" shrinkToFit="1"/>
    </xf>
    <xf numFmtId="164" fontId="56" fillId="3" borderId="20" xfId="3" applyNumberFormat="1" applyFont="1" applyFill="1" applyBorder="1" applyAlignment="1">
      <alignment horizontal="right" vertical="center" shrinkToFit="1"/>
    </xf>
    <xf numFmtId="164" fontId="52" fillId="3" borderId="2" xfId="3" applyNumberFormat="1" applyFont="1" applyFill="1" applyBorder="1" applyAlignment="1">
      <alignment horizontal="right" vertical="center" shrinkToFit="1"/>
    </xf>
    <xf numFmtId="9" fontId="64" fillId="3" borderId="2" xfId="4" applyFont="1" applyFill="1" applyBorder="1" applyAlignment="1">
      <alignment horizontal="right" vertical="center" shrinkToFit="1"/>
    </xf>
    <xf numFmtId="164" fontId="56" fillId="3" borderId="2" xfId="1" applyNumberFormat="1" applyFont="1" applyFill="1" applyBorder="1" applyAlignment="1">
      <alignment horizontal="right" vertical="center"/>
    </xf>
    <xf numFmtId="0" fontId="59" fillId="0" borderId="0" xfId="0" applyFont="1" applyAlignment="1">
      <alignment horizontal="center" vertical="center"/>
    </xf>
    <xf numFmtId="0" fontId="52" fillId="0" borderId="17" xfId="0" applyFont="1" applyBorder="1" applyAlignment="1">
      <alignment vertical="center"/>
    </xf>
    <xf numFmtId="9" fontId="65" fillId="0" borderId="17" xfId="0" applyNumberFormat="1" applyFont="1" applyBorder="1" applyAlignment="1">
      <alignment horizontal="center" vertical="center"/>
    </xf>
    <xf numFmtId="164" fontId="59" fillId="0" borderId="0" xfId="1" applyNumberFormat="1" applyFont="1" applyAlignment="1">
      <alignment horizontal="center" vertical="center"/>
    </xf>
    <xf numFmtId="43" fontId="59" fillId="0" borderId="0" xfId="1" applyFont="1" applyAlignment="1">
      <alignment vertical="center"/>
    </xf>
    <xf numFmtId="0" fontId="67" fillId="0" borderId="17" xfId="0" applyFont="1" applyBorder="1"/>
    <xf numFmtId="0" fontId="65" fillId="0" borderId="17" xfId="0" applyFont="1" applyBorder="1" applyAlignment="1">
      <alignment horizontal="center" vertical="center" shrinkToFit="1"/>
    </xf>
    <xf numFmtId="164" fontId="59" fillId="0" borderId="0" xfId="4" applyNumberFormat="1" applyFont="1" applyAlignment="1">
      <alignment vertical="center"/>
    </xf>
    <xf numFmtId="9" fontId="65" fillId="0" borderId="17" xfId="0" applyNumberFormat="1" applyFont="1" applyBorder="1" applyAlignment="1">
      <alignment horizontal="center" vertical="center" shrinkToFit="1"/>
    </xf>
    <xf numFmtId="0" fontId="65" fillId="0" borderId="17" xfId="34" applyNumberFormat="1" applyFont="1" applyFill="1" applyBorder="1" applyAlignment="1">
      <alignment horizontal="center" vertical="center" shrinkToFit="1"/>
    </xf>
    <xf numFmtId="164" fontId="59" fillId="0" borderId="0" xfId="0" applyNumberFormat="1" applyFont="1"/>
    <xf numFmtId="0" fontId="59" fillId="8" borderId="0" xfId="0" applyFont="1" applyFill="1" applyAlignment="1">
      <alignment horizontal="center" vertical="center"/>
    </xf>
    <xf numFmtId="0" fontId="63" fillId="8" borderId="0" xfId="0" applyFont="1" applyFill="1" applyAlignment="1">
      <alignment horizontal="center" vertical="center"/>
    </xf>
    <xf numFmtId="0" fontId="65" fillId="8" borderId="0" xfId="34" applyNumberFormat="1" applyFont="1" applyFill="1" applyBorder="1" applyAlignment="1">
      <alignment horizontal="center" vertical="center" shrinkToFit="1"/>
    </xf>
    <xf numFmtId="164" fontId="63" fillId="8" borderId="0" xfId="1" applyNumberFormat="1" applyFont="1" applyFill="1" applyBorder="1" applyAlignment="1">
      <alignment horizontal="center" shrinkToFit="1"/>
    </xf>
    <xf numFmtId="0" fontId="54" fillId="4" borderId="0" xfId="0" applyFont="1" applyFill="1"/>
    <xf numFmtId="165" fontId="65" fillId="4" borderId="0" xfId="4" applyNumberFormat="1" applyFont="1" applyFill="1" applyBorder="1" applyAlignment="1">
      <alignment horizontal="center" vertical="center" shrinkToFit="1"/>
    </xf>
    <xf numFmtId="164" fontId="65" fillId="4" borderId="0" xfId="1" applyNumberFormat="1" applyFont="1" applyFill="1" applyBorder="1" applyAlignment="1">
      <alignment horizontal="center" vertical="center" shrinkToFit="1"/>
    </xf>
    <xf numFmtId="9" fontId="63" fillId="4" borderId="0" xfId="4" applyFont="1" applyFill="1" applyBorder="1" applyAlignment="1">
      <alignment horizontal="center" shrinkToFit="1"/>
    </xf>
    <xf numFmtId="164" fontId="63" fillId="4" borderId="0" xfId="1" applyNumberFormat="1" applyFont="1" applyFill="1" applyBorder="1" applyAlignment="1">
      <alignment horizontal="center" shrinkToFit="1"/>
    </xf>
    <xf numFmtId="0" fontId="54" fillId="4" borderId="0" xfId="0" applyFont="1" applyFill="1" applyAlignment="1">
      <alignment horizontal="center" vertical="center"/>
    </xf>
    <xf numFmtId="0" fontId="56" fillId="3" borderId="17" xfId="0" applyFont="1" applyFill="1" applyBorder="1" applyAlignment="1">
      <alignment horizontal="center" vertical="center"/>
    </xf>
    <xf numFmtId="0" fontId="56" fillId="3" borderId="17" xfId="0" applyFont="1" applyFill="1" applyBorder="1" applyAlignment="1">
      <alignment vertical="center"/>
    </xf>
    <xf numFmtId="164" fontId="56" fillId="3" borderId="17" xfId="29" applyNumberFormat="1" applyFont="1" applyFill="1" applyBorder="1" applyAlignment="1">
      <alignment horizontal="center" vertical="center"/>
    </xf>
    <xf numFmtId="0" fontId="54" fillId="0" borderId="0" xfId="0" applyFont="1" applyAlignment="1">
      <alignment vertical="center"/>
    </xf>
    <xf numFmtId="0" fontId="54" fillId="4" borderId="0" xfId="0" applyFont="1" applyFill="1" applyAlignment="1">
      <alignment vertical="center"/>
    </xf>
    <xf numFmtId="9" fontId="63" fillId="4" borderId="0" xfId="4" applyFont="1" applyFill="1" applyBorder="1" applyAlignment="1">
      <alignment horizontal="center" vertical="center" shrinkToFit="1"/>
    </xf>
    <xf numFmtId="0" fontId="70" fillId="4" borderId="0" xfId="0" applyFont="1" applyFill="1" applyAlignment="1">
      <alignment horizontal="center" vertical="center"/>
    </xf>
    <xf numFmtId="164" fontId="54" fillId="4" borderId="0" xfId="0" applyNumberFormat="1" applyFont="1" applyFill="1" applyAlignment="1">
      <alignment horizontal="center" vertical="center"/>
    </xf>
    <xf numFmtId="164" fontId="70" fillId="0" borderId="0" xfId="29" applyNumberFormat="1" applyFont="1" applyBorder="1" applyAlignment="1">
      <alignment horizontal="center" vertical="center"/>
    </xf>
    <xf numFmtId="0" fontId="70" fillId="0" borderId="0" xfId="0" applyFont="1" applyAlignment="1">
      <alignment horizontal="center" vertical="center"/>
    </xf>
    <xf numFmtId="10" fontId="56" fillId="3" borderId="17" xfId="4" applyNumberFormat="1" applyFont="1" applyFill="1" applyBorder="1" applyAlignment="1">
      <alignment horizontal="right" vertical="center"/>
    </xf>
    <xf numFmtId="9" fontId="56" fillId="3" borderId="17" xfId="4" applyFont="1" applyFill="1" applyBorder="1" applyAlignment="1">
      <alignment vertical="center"/>
    </xf>
    <xf numFmtId="164" fontId="56" fillId="4" borderId="0" xfId="0" applyNumberFormat="1" applyFont="1" applyFill="1" applyAlignment="1">
      <alignment horizontal="centerContinuous" vertical="center"/>
    </xf>
    <xf numFmtId="9" fontId="59" fillId="4" borderId="0" xfId="4" applyFont="1" applyFill="1" applyBorder="1" applyAlignment="1">
      <alignment horizontal="right" vertical="center"/>
    </xf>
    <xf numFmtId="164" fontId="56" fillId="0" borderId="0" xfId="0" applyNumberFormat="1" applyFont="1" applyAlignment="1">
      <alignment horizontal="centerContinuous" vertical="center"/>
    </xf>
    <xf numFmtId="9" fontId="59" fillId="0" borderId="0" xfId="4" applyFont="1" applyBorder="1" applyAlignment="1">
      <alignment horizontal="right" vertical="center"/>
    </xf>
    <xf numFmtId="0" fontId="59" fillId="0" borderId="17" xfId="0" applyFont="1" applyBorder="1" applyAlignment="1">
      <alignment horizontal="center" vertical="center"/>
    </xf>
    <xf numFmtId="0" fontId="71" fillId="0" borderId="17" xfId="0" applyFont="1" applyBorder="1" applyAlignment="1">
      <alignment horizontal="left" vertical="center"/>
    </xf>
    <xf numFmtId="10" fontId="59" fillId="0" borderId="17" xfId="4" applyNumberFormat="1" applyFont="1" applyBorder="1" applyAlignment="1">
      <alignment vertical="center"/>
    </xf>
    <xf numFmtId="9" fontId="59" fillId="4" borderId="0" xfId="4" applyFont="1" applyFill="1" applyBorder="1" applyAlignment="1">
      <alignment vertical="center"/>
    </xf>
    <xf numFmtId="9" fontId="59" fillId="0" borderId="0" xfId="4" applyFont="1" applyBorder="1" applyAlignment="1">
      <alignment vertical="center"/>
    </xf>
    <xf numFmtId="164" fontId="56" fillId="4" borderId="28" xfId="0" applyNumberFormat="1" applyFont="1" applyFill="1" applyBorder="1" applyAlignment="1">
      <alignment vertical="center" wrapText="1"/>
    </xf>
    <xf numFmtId="164" fontId="56" fillId="4" borderId="29" xfId="0" applyNumberFormat="1" applyFont="1" applyFill="1" applyBorder="1" applyAlignment="1">
      <alignment vertical="center" wrapText="1"/>
    </xf>
    <xf numFmtId="164" fontId="54" fillId="0" borderId="0" xfId="0" applyNumberFormat="1" applyFont="1" applyAlignment="1">
      <alignment horizontal="center" vertical="center"/>
    </xf>
    <xf numFmtId="0" fontId="54" fillId="0" borderId="0" xfId="0" applyFont="1" applyAlignment="1">
      <alignment horizontal="center" vertical="center"/>
    </xf>
    <xf numFmtId="10" fontId="56" fillId="3" borderId="17" xfId="4" applyNumberFormat="1" applyFont="1" applyFill="1" applyBorder="1" applyAlignment="1">
      <alignment vertical="center"/>
    </xf>
    <xf numFmtId="10" fontId="59" fillId="0" borderId="17" xfId="0" applyNumberFormat="1" applyFont="1" applyBorder="1" applyAlignment="1">
      <alignment vertical="center"/>
    </xf>
    <xf numFmtId="164" fontId="70" fillId="4" borderId="0" xfId="29" applyNumberFormat="1" applyFont="1" applyFill="1" applyBorder="1" applyAlignment="1">
      <alignment horizontal="center" vertical="center"/>
    </xf>
    <xf numFmtId="165" fontId="54" fillId="0" borderId="17" xfId="4" applyNumberFormat="1" applyFont="1" applyBorder="1" applyAlignment="1">
      <alignment horizontal="center" vertical="center"/>
    </xf>
    <xf numFmtId="165" fontId="59" fillId="0" borderId="17" xfId="4" applyNumberFormat="1" applyFont="1" applyBorder="1" applyAlignment="1">
      <alignment vertical="center"/>
    </xf>
    <xf numFmtId="9" fontId="54" fillId="0" borderId="0" xfId="4" applyFont="1" applyBorder="1" applyAlignment="1">
      <alignment horizontal="center" vertical="center"/>
    </xf>
    <xf numFmtId="165" fontId="56" fillId="0" borderId="17" xfId="4" applyNumberFormat="1" applyFont="1" applyBorder="1" applyAlignment="1">
      <alignment vertical="center"/>
    </xf>
    <xf numFmtId="165" fontId="56" fillId="0" borderId="0" xfId="4" applyNumberFormat="1" applyFont="1" applyBorder="1" applyAlignment="1">
      <alignment vertical="center"/>
    </xf>
    <xf numFmtId="164" fontId="59" fillId="0" borderId="0" xfId="0" applyNumberFormat="1" applyFont="1" applyAlignment="1">
      <alignment vertical="center"/>
    </xf>
    <xf numFmtId="9" fontId="56" fillId="0" borderId="0" xfId="4" applyFont="1" applyBorder="1" applyAlignment="1">
      <alignment vertical="center"/>
    </xf>
    <xf numFmtId="0" fontId="56" fillId="3" borderId="17" xfId="0" applyFont="1" applyFill="1" applyBorder="1" applyAlignment="1">
      <alignment vertical="center" wrapText="1"/>
    </xf>
    <xf numFmtId="164" fontId="56" fillId="4" borderId="0" xfId="0" applyNumberFormat="1" applyFont="1" applyFill="1" applyAlignment="1">
      <alignment horizontal="center" vertical="center"/>
    </xf>
    <xf numFmtId="164" fontId="56" fillId="0" borderId="0" xfId="0" applyNumberFormat="1" applyFont="1" applyAlignment="1">
      <alignment horizontal="center" vertical="center"/>
    </xf>
    <xf numFmtId="0" fontId="71" fillId="0" borderId="17" xfId="0" applyFont="1" applyBorder="1" applyAlignment="1">
      <alignment horizontal="left" vertical="center" wrapText="1"/>
    </xf>
    <xf numFmtId="10" fontId="54" fillId="0" borderId="17" xfId="4" applyNumberFormat="1" applyFont="1" applyBorder="1" applyAlignment="1">
      <alignment horizontal="center" vertical="center"/>
    </xf>
    <xf numFmtId="0" fontId="73" fillId="0" borderId="0" xfId="0" applyFont="1"/>
    <xf numFmtId="9" fontId="59" fillId="0" borderId="0" xfId="4" applyFont="1" applyBorder="1" applyAlignment="1">
      <alignment horizontal="center" vertical="center"/>
    </xf>
    <xf numFmtId="0" fontId="56" fillId="0" borderId="0" xfId="0" applyFont="1" applyAlignment="1">
      <alignment horizontal="center" vertical="center"/>
    </xf>
    <xf numFmtId="0" fontId="56" fillId="0" borderId="0" xfId="0" applyFont="1" applyAlignment="1">
      <alignment vertical="center"/>
    </xf>
    <xf numFmtId="0" fontId="56" fillId="0" borderId="0" xfId="0" applyFont="1"/>
    <xf numFmtId="0" fontId="54" fillId="0" borderId="0" xfId="0" applyFont="1" applyAlignment="1">
      <alignment horizontal="left"/>
    </xf>
    <xf numFmtId="0" fontId="59" fillId="0" borderId="0" xfId="0" applyFont="1" applyAlignment="1">
      <alignment horizontal="left"/>
    </xf>
    <xf numFmtId="164" fontId="50" fillId="8" borderId="19" xfId="29" applyNumberFormat="1" applyFont="1" applyFill="1" applyBorder="1" applyAlignment="1">
      <alignment horizontal="center" vertical="center" wrapText="1"/>
    </xf>
    <xf numFmtId="0" fontId="50" fillId="8" borderId="19" xfId="28" applyFont="1" applyFill="1" applyBorder="1" applyAlignment="1">
      <alignment horizontal="center" vertical="center" wrapText="1"/>
    </xf>
    <xf numFmtId="164" fontId="50" fillId="3" borderId="19" xfId="29" applyNumberFormat="1" applyFont="1" applyFill="1" applyBorder="1" applyAlignment="1">
      <alignment horizontal="center" vertical="center" wrapText="1"/>
    </xf>
    <xf numFmtId="0" fontId="50" fillId="3" borderId="19" xfId="28" applyFont="1" applyFill="1" applyBorder="1" applyAlignment="1">
      <alignment horizontal="center" vertical="center" wrapText="1"/>
    </xf>
    <xf numFmtId="0" fontId="50" fillId="4" borderId="19" xfId="28" applyFont="1" applyFill="1" applyBorder="1" applyAlignment="1">
      <alignment horizontal="center" vertical="center" wrapText="1"/>
    </xf>
    <xf numFmtId="0" fontId="50" fillId="4" borderId="19" xfId="28" applyFont="1" applyFill="1" applyBorder="1" applyAlignment="1">
      <alignment horizontal="left" vertical="center" wrapText="1"/>
    </xf>
    <xf numFmtId="37" fontId="50" fillId="0" borderId="19" xfId="28" applyNumberFormat="1" applyFont="1" applyBorder="1" applyAlignment="1">
      <alignment horizontal="center" vertical="center" shrinkToFit="1"/>
    </xf>
    <xf numFmtId="37" fontId="49" fillId="0" borderId="19" xfId="28" applyNumberFormat="1" applyFont="1" applyBorder="1" applyAlignment="1">
      <alignment horizontal="center" vertical="center" shrinkToFit="1"/>
    </xf>
    <xf numFmtId="37" fontId="50" fillId="0" borderId="19" xfId="28" applyNumberFormat="1" applyFont="1" applyBorder="1" applyAlignment="1">
      <alignment vertical="center" shrinkToFit="1"/>
    </xf>
    <xf numFmtId="0" fontId="50" fillId="4" borderId="0" xfId="28" applyFont="1" applyFill="1" applyAlignment="1">
      <alignment horizontal="left" vertical="center" wrapText="1"/>
    </xf>
    <xf numFmtId="37" fontId="49" fillId="0" borderId="0" xfId="28" applyNumberFormat="1" applyFont="1" applyAlignment="1">
      <alignment horizontal="center" vertical="center" shrinkToFit="1"/>
    </xf>
    <xf numFmtId="37" fontId="50" fillId="0" borderId="0" xfId="28" applyNumberFormat="1" applyFont="1" applyAlignment="1">
      <alignment horizontal="center" vertical="center" shrinkToFit="1"/>
    </xf>
    <xf numFmtId="37" fontId="50" fillId="0" borderId="0" xfId="28" applyNumberFormat="1" applyFont="1" applyAlignment="1">
      <alignment vertical="center" shrinkToFit="1"/>
    </xf>
    <xf numFmtId="167" fontId="49" fillId="0" borderId="0" xfId="28" applyNumberFormat="1" applyFont="1" applyAlignment="1">
      <alignment vertical="center" shrinkToFit="1"/>
    </xf>
    <xf numFmtId="0" fontId="51" fillId="0" borderId="0" xfId="28" applyFont="1"/>
    <xf numFmtId="0" fontId="50" fillId="0" borderId="0" xfId="32" applyFont="1" applyAlignment="1">
      <alignment horizontal="center" vertical="center"/>
    </xf>
    <xf numFmtId="0" fontId="50" fillId="0" borderId="0" xfId="32" applyFont="1" applyAlignment="1">
      <alignment vertical="center"/>
    </xf>
    <xf numFmtId="0" fontId="50" fillId="0" borderId="0" xfId="32" applyFont="1"/>
    <xf numFmtId="0" fontId="50" fillId="0" borderId="0" xfId="32" applyFont="1" applyAlignment="1">
      <alignment horizontal="left"/>
    </xf>
    <xf numFmtId="9" fontId="51" fillId="0" borderId="0" xfId="36" applyFont="1"/>
    <xf numFmtId="0" fontId="51" fillId="0" borderId="0" xfId="28" applyFont="1" applyAlignment="1">
      <alignment horizontal="center"/>
    </xf>
    <xf numFmtId="0" fontId="12" fillId="0" borderId="0" xfId="28" applyFont="1"/>
    <xf numFmtId="0" fontId="12" fillId="0" borderId="0" xfId="28" applyFont="1" applyAlignment="1">
      <alignment horizontal="right"/>
    </xf>
    <xf numFmtId="10" fontId="50" fillId="0" borderId="19" xfId="4" applyNumberFormat="1" applyFont="1" applyBorder="1" applyAlignment="1">
      <alignment horizontal="center" vertical="center" shrinkToFit="1"/>
    </xf>
    <xf numFmtId="0" fontId="59" fillId="0" borderId="5" xfId="0" applyFont="1" applyBorder="1" applyAlignment="1">
      <alignment horizontal="left" vertical="center" wrapText="1"/>
    </xf>
    <xf numFmtId="164" fontId="59" fillId="0" borderId="5" xfId="1" applyNumberFormat="1" applyFont="1" applyBorder="1" applyAlignment="1">
      <alignment horizontal="center" vertical="center" shrinkToFit="1"/>
    </xf>
    <xf numFmtId="41" fontId="60" fillId="0" borderId="5" xfId="0" applyNumberFormat="1" applyFont="1" applyBorder="1" applyAlignment="1">
      <alignment horizontal="center" vertical="center" shrinkToFit="1"/>
    </xf>
    <xf numFmtId="9" fontId="59" fillId="0" borderId="5" xfId="0" applyNumberFormat="1" applyFont="1" applyBorder="1" applyAlignment="1">
      <alignment vertical="center"/>
    </xf>
    <xf numFmtId="43" fontId="59" fillId="0" borderId="5" xfId="0" applyNumberFormat="1" applyFont="1" applyBorder="1" applyAlignment="1">
      <alignment horizontal="center" vertical="center" shrinkToFit="1"/>
    </xf>
    <xf numFmtId="0" fontId="76" fillId="0" borderId="0" xfId="37" applyFont="1" applyAlignment="1">
      <alignment vertical="center"/>
    </xf>
    <xf numFmtId="0" fontId="9" fillId="0" borderId="0" xfId="37" applyFont="1" applyAlignment="1">
      <alignment vertical="center"/>
    </xf>
    <xf numFmtId="0" fontId="51" fillId="0" borderId="0" xfId="37" applyFont="1" applyAlignment="1">
      <alignment horizontal="center"/>
    </xf>
    <xf numFmtId="0" fontId="51" fillId="0" borderId="0" xfId="37" applyFont="1"/>
    <xf numFmtId="0" fontId="9" fillId="0" borderId="0" xfId="37" applyFont="1"/>
    <xf numFmtId="14" fontId="51" fillId="0" borderId="0" xfId="37" applyNumberFormat="1" applyFont="1" applyAlignment="1">
      <alignment horizontal="left"/>
    </xf>
    <xf numFmtId="0" fontId="51" fillId="0" borderId="0" xfId="37" applyFont="1" applyAlignment="1">
      <alignment horizontal="left"/>
    </xf>
    <xf numFmtId="0" fontId="50" fillId="11" borderId="38" xfId="37" applyFont="1" applyFill="1" applyBorder="1" applyAlignment="1">
      <alignment horizontal="center" vertical="center" wrapText="1"/>
    </xf>
    <xf numFmtId="0" fontId="50" fillId="11" borderId="41" xfId="37" applyFont="1" applyFill="1" applyBorder="1" applyAlignment="1">
      <alignment horizontal="center" vertical="center" wrapText="1"/>
    </xf>
    <xf numFmtId="0" fontId="50" fillId="11" borderId="39" xfId="37" applyFont="1" applyFill="1" applyBorder="1" applyAlignment="1">
      <alignment horizontal="center" vertical="center" wrapText="1"/>
    </xf>
    <xf numFmtId="0" fontId="50" fillId="11" borderId="42" xfId="37" applyFont="1" applyFill="1" applyBorder="1" applyAlignment="1">
      <alignment horizontal="center" vertical="center" wrapText="1"/>
    </xf>
    <xf numFmtId="0" fontId="50" fillId="11" borderId="43" xfId="37" applyFont="1" applyFill="1" applyBorder="1" applyAlignment="1">
      <alignment horizontal="left" vertical="center"/>
    </xf>
    <xf numFmtId="0" fontId="50" fillId="11" borderId="44" xfId="37" applyFont="1" applyFill="1" applyBorder="1" applyAlignment="1">
      <alignment horizontal="center" vertical="center" wrapText="1"/>
    </xf>
    <xf numFmtId="0" fontId="50" fillId="11" borderId="45" xfId="37" applyFont="1" applyFill="1" applyBorder="1" applyAlignment="1">
      <alignment horizontal="center" vertical="center" wrapText="1"/>
    </xf>
    <xf numFmtId="0" fontId="50" fillId="11" borderId="18" xfId="37" applyFont="1" applyFill="1" applyBorder="1" applyAlignment="1">
      <alignment horizontal="center" vertical="center" wrapText="1"/>
    </xf>
    <xf numFmtId="164" fontId="50" fillId="11" borderId="24" xfId="38" applyNumberFormat="1" applyFont="1" applyFill="1" applyBorder="1" applyAlignment="1">
      <alignment horizontal="center" vertical="center" wrapText="1"/>
    </xf>
    <xf numFmtId="0" fontId="50" fillId="11" borderId="46" xfId="37" applyFont="1" applyFill="1" applyBorder="1" applyAlignment="1">
      <alignment horizontal="center" vertical="center" wrapText="1"/>
    </xf>
    <xf numFmtId="0" fontId="51" fillId="0" borderId="19" xfId="37" applyFont="1" applyBorder="1" applyAlignment="1">
      <alignment horizontal="center" vertical="center"/>
    </xf>
    <xf numFmtId="41" fontId="78" fillId="0" borderId="19" xfId="37" applyNumberFormat="1" applyFont="1" applyBorder="1" applyAlignment="1">
      <alignment horizontal="center" vertical="center" shrinkToFit="1"/>
    </xf>
    <xf numFmtId="164" fontId="50" fillId="4" borderId="19" xfId="38" applyNumberFormat="1" applyFont="1" applyFill="1" applyBorder="1" applyAlignment="1">
      <alignment horizontal="center" vertical="center" wrapText="1"/>
    </xf>
    <xf numFmtId="0" fontId="51" fillId="0" borderId="19" xfId="37" applyFont="1" applyBorder="1" applyAlignment="1">
      <alignment vertical="center"/>
    </xf>
    <xf numFmtId="164" fontId="51" fillId="0" borderId="19" xfId="38" applyNumberFormat="1" applyFont="1" applyBorder="1" applyAlignment="1">
      <alignment horizontal="center" vertical="center" shrinkToFit="1"/>
    </xf>
    <xf numFmtId="0" fontId="50" fillId="11" borderId="21" xfId="37" applyFont="1" applyFill="1" applyBorder="1" applyAlignment="1">
      <alignment vertical="center"/>
    </xf>
    <xf numFmtId="0" fontId="50" fillId="11" borderId="23" xfId="37" applyFont="1" applyFill="1" applyBorder="1" applyAlignment="1">
      <alignment vertical="center"/>
    </xf>
    <xf numFmtId="0" fontId="50" fillId="11" borderId="22" xfId="37" applyFont="1" applyFill="1" applyBorder="1" applyAlignment="1">
      <alignment vertical="center"/>
    </xf>
    <xf numFmtId="164" fontId="50" fillId="11" borderId="19" xfId="38" applyNumberFormat="1" applyFont="1" applyFill="1" applyBorder="1" applyAlignment="1">
      <alignment horizontal="center" vertical="center" wrapText="1"/>
    </xf>
    <xf numFmtId="0" fontId="50" fillId="11" borderId="19" xfId="37" applyFont="1" applyFill="1" applyBorder="1" applyAlignment="1">
      <alignment horizontal="center" vertical="center" wrapText="1"/>
    </xf>
    <xf numFmtId="0" fontId="51" fillId="0" borderId="47" xfId="37" applyFont="1" applyBorder="1" applyAlignment="1">
      <alignment horizontal="center" vertical="center"/>
    </xf>
    <xf numFmtId="0" fontId="51" fillId="0" borderId="25" xfId="37" applyFont="1" applyBorder="1" applyAlignment="1">
      <alignment horizontal="center" vertical="center"/>
    </xf>
    <xf numFmtId="41" fontId="78" fillId="0" borderId="25" xfId="37" applyNumberFormat="1" applyFont="1" applyBorder="1" applyAlignment="1">
      <alignment horizontal="center" vertical="center" shrinkToFit="1"/>
    </xf>
    <xf numFmtId="164" fontId="50" fillId="4" borderId="25" xfId="38" applyNumberFormat="1" applyFont="1" applyFill="1" applyBorder="1" applyAlignment="1">
      <alignment horizontal="center" vertical="center" wrapText="1"/>
    </xf>
    <xf numFmtId="0" fontId="51" fillId="0" borderId="48" xfId="37" applyFont="1" applyBorder="1" applyAlignment="1">
      <alignment vertical="center"/>
    </xf>
    <xf numFmtId="168" fontId="50" fillId="11" borderId="19" xfId="37" applyNumberFormat="1" applyFont="1" applyFill="1" applyBorder="1" applyAlignment="1">
      <alignment vertical="center"/>
    </xf>
    <xf numFmtId="0" fontId="50" fillId="11" borderId="48" xfId="37" applyFont="1" applyFill="1" applyBorder="1"/>
    <xf numFmtId="168" fontId="50" fillId="11" borderId="21" xfId="37" applyNumberFormat="1" applyFont="1" applyFill="1" applyBorder="1"/>
    <xf numFmtId="168" fontId="50" fillId="11" borderId="21" xfId="37" applyNumberFormat="1" applyFont="1" applyFill="1" applyBorder="1" applyAlignment="1">
      <alignment horizontal="right"/>
    </xf>
    <xf numFmtId="0" fontId="9" fillId="0" borderId="0" xfId="37" applyFont="1" applyAlignment="1">
      <alignment horizontal="center"/>
    </xf>
    <xf numFmtId="0" fontId="79" fillId="0" borderId="0" xfId="37" applyFont="1"/>
    <xf numFmtId="0" fontId="83" fillId="0" borderId="0" xfId="37" applyFont="1"/>
    <xf numFmtId="0" fontId="80" fillId="0" borderId="0" xfId="37" applyFont="1"/>
    <xf numFmtId="9" fontId="80" fillId="0" borderId="0" xfId="39" applyFont="1"/>
    <xf numFmtId="0" fontId="34" fillId="8" borderId="21" xfId="0" applyFont="1" applyFill="1" applyBorder="1" applyAlignment="1">
      <alignment vertical="center"/>
    </xf>
    <xf numFmtId="0" fontId="34" fillId="8" borderId="23" xfId="0" applyFont="1" applyFill="1" applyBorder="1" applyAlignment="1">
      <alignment vertical="center"/>
    </xf>
    <xf numFmtId="0" fontId="50" fillId="12" borderId="19" xfId="0" applyFont="1" applyFill="1" applyBorder="1" applyAlignment="1">
      <alignment horizontal="centerContinuous" vertical="center" wrapText="1"/>
    </xf>
    <xf numFmtId="0" fontId="50" fillId="12" borderId="19" xfId="0" applyFont="1" applyFill="1" applyBorder="1" applyAlignment="1">
      <alignment horizontal="center" vertical="center" wrapText="1"/>
    </xf>
    <xf numFmtId="164" fontId="50" fillId="12" borderId="19" xfId="1" applyNumberFormat="1" applyFont="1" applyFill="1" applyBorder="1" applyAlignment="1">
      <alignment horizontal="center" vertical="center" wrapText="1"/>
    </xf>
    <xf numFmtId="0" fontId="50" fillId="8" borderId="21" xfId="0" applyFont="1" applyFill="1" applyBorder="1" applyAlignment="1">
      <alignment horizontal="left" vertical="center"/>
    </xf>
    <xf numFmtId="0" fontId="50" fillId="8" borderId="26" xfId="0" applyFont="1" applyFill="1" applyBorder="1" applyAlignment="1">
      <alignment horizontal="left" vertical="center"/>
    </xf>
    <xf numFmtId="0" fontId="50" fillId="8" borderId="26" xfId="0" applyFont="1" applyFill="1" applyBorder="1" applyAlignment="1">
      <alignment horizontal="center" vertical="center"/>
    </xf>
    <xf numFmtId="164" fontId="50" fillId="8" borderId="26" xfId="0" applyNumberFormat="1" applyFont="1" applyFill="1" applyBorder="1" applyAlignment="1">
      <alignment horizontal="left" vertical="center"/>
    </xf>
    <xf numFmtId="164" fontId="50" fillId="8" borderId="15" xfId="0" applyNumberFormat="1" applyFont="1" applyFill="1" applyBorder="1" applyAlignment="1">
      <alignment horizontal="center" vertical="center"/>
    </xf>
    <xf numFmtId="0" fontId="51" fillId="0" borderId="25" xfId="0" applyFont="1" applyBorder="1" applyAlignment="1">
      <alignment horizontal="center" vertical="center"/>
    </xf>
    <xf numFmtId="0" fontId="51" fillId="0" borderId="25" xfId="0" applyFont="1" applyBorder="1" applyAlignment="1">
      <alignment horizontal="left" vertical="center" wrapText="1"/>
    </xf>
    <xf numFmtId="0" fontId="51" fillId="0" borderId="25" xfId="0" quotePrefix="1" applyFont="1" applyBorder="1" applyAlignment="1">
      <alignment vertical="center" wrapText="1"/>
    </xf>
    <xf numFmtId="0" fontId="51" fillId="0" borderId="25" xfId="0" quotePrefix="1" applyFont="1" applyBorder="1" applyAlignment="1">
      <alignment horizontal="center" vertical="center" wrapText="1"/>
    </xf>
    <xf numFmtId="164" fontId="51" fillId="0" borderId="25" xfId="1" applyNumberFormat="1" applyFont="1" applyBorder="1" applyAlignment="1">
      <alignment horizontal="center" vertical="center" shrinkToFit="1"/>
    </xf>
    <xf numFmtId="0" fontId="51" fillId="0" borderId="25" xfId="0" applyFont="1" applyBorder="1" applyAlignment="1">
      <alignment horizontal="center" vertical="center" wrapText="1"/>
    </xf>
    <xf numFmtId="0" fontId="51" fillId="0" borderId="4" xfId="0" applyFont="1" applyBorder="1" applyAlignment="1">
      <alignment horizontal="center" vertical="center"/>
    </xf>
    <xf numFmtId="0" fontId="51" fillId="0" borderId="4" xfId="0" applyFont="1" applyBorder="1" applyAlignment="1">
      <alignment horizontal="left" vertical="center" wrapText="1"/>
    </xf>
    <xf numFmtId="0" fontId="51" fillId="0" borderId="4" xfId="0" quotePrefix="1" applyFont="1" applyBorder="1" applyAlignment="1">
      <alignment vertical="center" wrapText="1"/>
    </xf>
    <xf numFmtId="0" fontId="51" fillId="0" borderId="4" xfId="0" quotePrefix="1" applyFont="1" applyBorder="1" applyAlignment="1">
      <alignment horizontal="center" vertical="center" wrapText="1"/>
    </xf>
    <xf numFmtId="164" fontId="51" fillId="0" borderId="4" xfId="1" applyNumberFormat="1" applyFont="1" applyBorder="1" applyAlignment="1">
      <alignment horizontal="center" vertical="center" shrinkToFit="1"/>
    </xf>
    <xf numFmtId="0" fontId="51" fillId="0" borderId="4" xfId="0" applyFont="1" applyBorder="1" applyAlignment="1">
      <alignment horizontal="center" vertical="center" wrapText="1"/>
    </xf>
    <xf numFmtId="0" fontId="51" fillId="0" borderId="4" xfId="0" quotePrefix="1" applyFont="1" applyBorder="1" applyAlignment="1">
      <alignment horizontal="left" vertical="center" wrapText="1"/>
    </xf>
    <xf numFmtId="0" fontId="51" fillId="4" borderId="4" xfId="28" quotePrefix="1" applyFont="1" applyFill="1" applyBorder="1" applyAlignment="1">
      <alignment horizontal="center" vertical="center" wrapText="1"/>
    </xf>
    <xf numFmtId="0" fontId="51" fillId="4" borderId="4" xfId="0" quotePrefix="1" applyFont="1" applyFill="1" applyBorder="1" applyAlignment="1">
      <alignment horizontal="center" vertical="center" wrapText="1"/>
    </xf>
    <xf numFmtId="0" fontId="10" fillId="0" borderId="4" xfId="0" applyFont="1" applyBorder="1"/>
    <xf numFmtId="0" fontId="51" fillId="0" borderId="5" xfId="0" applyFont="1" applyBorder="1" applyAlignment="1">
      <alignment horizontal="center" vertical="center"/>
    </xf>
    <xf numFmtId="0" fontId="51" fillId="0" borderId="5" xfId="0" applyFont="1" applyBorder="1" applyAlignment="1">
      <alignment horizontal="left" vertical="center"/>
    </xf>
    <xf numFmtId="0" fontId="51" fillId="4" borderId="5" xfId="28" applyFont="1" applyFill="1" applyBorder="1" applyAlignment="1">
      <alignment horizontal="left" vertical="center"/>
    </xf>
    <xf numFmtId="0" fontId="51" fillId="4" borderId="5" xfId="28" applyFont="1" applyFill="1" applyBorder="1" applyAlignment="1">
      <alignment horizontal="center" vertical="center"/>
    </xf>
    <xf numFmtId="164" fontId="51" fillId="0" borderId="5" xfId="1" applyNumberFormat="1" applyFont="1" applyBorder="1" applyAlignment="1">
      <alignment horizontal="center" vertical="center" shrinkToFit="1"/>
    </xf>
    <xf numFmtId="0" fontId="10" fillId="0" borderId="5" xfId="0" applyFont="1" applyBorder="1"/>
    <xf numFmtId="0" fontId="50" fillId="8" borderId="21" xfId="0" applyFont="1" applyFill="1" applyBorder="1" applyAlignment="1">
      <alignment vertical="center"/>
    </xf>
    <xf numFmtId="0" fontId="50" fillId="8" borderId="23" xfId="0" applyFont="1" applyFill="1" applyBorder="1" applyAlignment="1">
      <alignment vertical="center"/>
    </xf>
    <xf numFmtId="0" fontId="50" fillId="8" borderId="22" xfId="0" applyFont="1" applyFill="1" applyBorder="1" applyAlignment="1">
      <alignment vertical="center"/>
    </xf>
    <xf numFmtId="164" fontId="50" fillId="8" borderId="19" xfId="0" applyNumberFormat="1" applyFont="1" applyFill="1" applyBorder="1" applyAlignment="1">
      <alignment horizontal="left" vertical="center"/>
    </xf>
    <xf numFmtId="164" fontId="50" fillId="8" borderId="19" xfId="0" applyNumberFormat="1" applyFont="1" applyFill="1" applyBorder="1" applyAlignment="1">
      <alignment horizontal="center" vertical="center"/>
    </xf>
    <xf numFmtId="0" fontId="51" fillId="0" borderId="30" xfId="0" applyFont="1" applyBorder="1" applyAlignment="1">
      <alignment vertical="center" wrapText="1"/>
    </xf>
    <xf numFmtId="0" fontId="50" fillId="4" borderId="25" xfId="0" applyFont="1" applyFill="1" applyBorder="1" applyAlignment="1">
      <alignment horizontal="center" vertical="center"/>
    </xf>
    <xf numFmtId="0" fontId="51" fillId="0" borderId="32" xfId="0" applyFont="1" applyBorder="1" applyAlignment="1">
      <alignment vertical="center" wrapText="1"/>
    </xf>
    <xf numFmtId="0" fontId="51" fillId="0" borderId="32" xfId="0" applyFont="1" applyBorder="1" applyAlignment="1">
      <alignment horizontal="center" vertical="center"/>
    </xf>
    <xf numFmtId="0" fontId="51" fillId="0" borderId="33" xfId="0" applyFont="1" applyBorder="1" applyAlignment="1">
      <alignment horizontal="center" vertical="center"/>
    </xf>
    <xf numFmtId="0" fontId="51" fillId="0" borderId="4" xfId="0" applyFont="1" applyBorder="1" applyAlignment="1">
      <alignment horizontal="left" vertical="center"/>
    </xf>
    <xf numFmtId="0" fontId="51" fillId="0" borderId="35" xfId="0" applyFont="1" applyBorder="1" applyAlignment="1">
      <alignment vertical="center"/>
    </xf>
    <xf numFmtId="0" fontId="51" fillId="0" borderId="35" xfId="0" applyFont="1" applyBorder="1" applyAlignment="1">
      <alignment horizontal="center" vertical="center"/>
    </xf>
    <xf numFmtId="0" fontId="78" fillId="8" borderId="23" xfId="0" applyFont="1" applyFill="1" applyBorder="1" applyAlignment="1">
      <alignment horizontal="left" vertical="center"/>
    </xf>
    <xf numFmtId="0" fontId="78" fillId="8" borderId="23" xfId="0" applyFont="1" applyFill="1" applyBorder="1" applyAlignment="1">
      <alignment horizontal="center" vertical="center"/>
    </xf>
    <xf numFmtId="3" fontId="51" fillId="8" borderId="23" xfId="0" applyNumberFormat="1" applyFont="1" applyFill="1" applyBorder="1" applyAlignment="1">
      <alignment horizontal="left" vertical="center" shrinkToFit="1"/>
    </xf>
    <xf numFmtId="164" fontId="51" fillId="8" borderId="23" xfId="1" applyNumberFormat="1" applyFont="1" applyFill="1" applyBorder="1" applyAlignment="1">
      <alignment horizontal="left" vertical="center"/>
    </xf>
    <xf numFmtId="164" fontId="50" fillId="8" borderId="23" xfId="1" applyNumberFormat="1" applyFont="1" applyFill="1" applyBorder="1" applyAlignment="1">
      <alignment horizontal="left" vertical="center"/>
    </xf>
    <xf numFmtId="164" fontId="50" fillId="8" borderId="22" xfId="1" applyNumberFormat="1" applyFont="1" applyFill="1" applyBorder="1" applyAlignment="1">
      <alignment horizontal="center" vertical="center"/>
    </xf>
    <xf numFmtId="0" fontId="51" fillId="0" borderId="25" xfId="0" applyFont="1" applyBorder="1" applyAlignment="1">
      <alignment horizontal="left" vertical="center"/>
    </xf>
    <xf numFmtId="0" fontId="51" fillId="0" borderId="19" xfId="0" applyFont="1" applyBorder="1" applyAlignment="1">
      <alignment horizontal="center" vertical="center"/>
    </xf>
    <xf numFmtId="0" fontId="51" fillId="0" borderId="19" xfId="0" applyFont="1" applyBorder="1" applyAlignment="1">
      <alignment horizontal="left" vertical="center" wrapText="1"/>
    </xf>
    <xf numFmtId="0" fontId="51" fillId="0" borderId="27" xfId="0" applyFont="1" applyBorder="1" applyAlignment="1">
      <alignment horizontal="center" vertical="center"/>
    </xf>
    <xf numFmtId="164" fontId="51" fillId="0" borderId="27" xfId="1" applyNumberFormat="1" applyFont="1" applyBorder="1" applyAlignment="1">
      <alignment horizontal="center" vertical="center" shrinkToFit="1"/>
    </xf>
    <xf numFmtId="164" fontId="51" fillId="0" borderId="19" xfId="1" applyNumberFormat="1" applyFont="1" applyBorder="1" applyAlignment="1">
      <alignment horizontal="center" vertical="center" shrinkToFit="1"/>
    </xf>
    <xf numFmtId="0" fontId="51" fillId="0" borderId="7" xfId="0" applyFont="1" applyBorder="1" applyAlignment="1">
      <alignment horizontal="center" vertical="center"/>
    </xf>
    <xf numFmtId="0" fontId="51" fillId="0" borderId="7" xfId="0" applyFont="1" applyBorder="1" applyAlignment="1">
      <alignment horizontal="left" vertical="center" wrapText="1"/>
    </xf>
    <xf numFmtId="164" fontId="51" fillId="0" borderId="7" xfId="1" applyNumberFormat="1" applyFont="1" applyBorder="1" applyAlignment="1">
      <alignment horizontal="center" vertical="center" shrinkToFit="1"/>
    </xf>
    <xf numFmtId="164" fontId="50" fillId="4" borderId="7" xfId="1" applyNumberFormat="1" applyFont="1" applyFill="1" applyBorder="1" applyAlignment="1">
      <alignment horizontal="center" vertical="center" wrapText="1"/>
    </xf>
    <xf numFmtId="0" fontId="51" fillId="0" borderId="0" xfId="0" applyFont="1" applyAlignment="1">
      <alignment vertical="center"/>
    </xf>
    <xf numFmtId="0" fontId="50" fillId="0" borderId="0" xfId="0" applyFont="1" applyAlignment="1">
      <alignment horizontal="left" vertical="center" indent="2"/>
    </xf>
    <xf numFmtId="0" fontId="51" fillId="0" borderId="0" xfId="0" applyFont="1" applyAlignment="1">
      <alignment horizontal="center" vertical="center"/>
    </xf>
    <xf numFmtId="0" fontId="88" fillId="4" borderId="0" xfId="0" applyFont="1" applyFill="1" applyAlignment="1">
      <alignment vertical="center"/>
    </xf>
    <xf numFmtId="0" fontId="88" fillId="4" borderId="0" xfId="0" applyFont="1" applyFill="1" applyAlignment="1">
      <alignment horizontal="center" vertical="center"/>
    </xf>
    <xf numFmtId="0" fontId="78" fillId="0" borderId="0" xfId="0" applyFont="1" applyAlignment="1">
      <alignment vertical="center"/>
    </xf>
    <xf numFmtId="0" fontId="85" fillId="0" borderId="0" xfId="0" applyFont="1" applyAlignment="1">
      <alignment vertical="center"/>
    </xf>
    <xf numFmtId="0" fontId="89" fillId="0" borderId="0" xfId="0" applyFont="1" applyAlignment="1">
      <alignment vertical="center" wrapText="1"/>
    </xf>
    <xf numFmtId="0" fontId="89" fillId="0" borderId="0" xfId="0" applyFont="1" applyAlignment="1">
      <alignment horizontal="center" vertical="center" wrapText="1"/>
    </xf>
    <xf numFmtId="0" fontId="88" fillId="0" borderId="0" xfId="0" applyFont="1" applyAlignment="1">
      <alignment horizontal="left" vertical="center"/>
    </xf>
    <xf numFmtId="0" fontId="88" fillId="0" borderId="0" xfId="0" applyFont="1" applyAlignment="1">
      <alignment horizontal="center" vertical="center"/>
    </xf>
    <xf numFmtId="0" fontId="90" fillId="0" borderId="0" xfId="2" applyFont="1" applyFill="1" applyBorder="1" applyAlignment="1">
      <alignment vertical="center"/>
    </xf>
    <xf numFmtId="0" fontId="51" fillId="0" borderId="0" xfId="0" applyFont="1" applyAlignment="1">
      <alignment horizontal="left" vertical="center"/>
    </xf>
    <xf numFmtId="164" fontId="78" fillId="0" borderId="0" xfId="3" applyNumberFormat="1" applyFont="1" applyFill="1" applyBorder="1" applyAlignment="1">
      <alignment horizontal="center" vertical="center" wrapText="1"/>
    </xf>
    <xf numFmtId="164" fontId="78" fillId="0" borderId="0" xfId="1" applyNumberFormat="1" applyFont="1" applyFill="1" applyBorder="1" applyAlignment="1">
      <alignment horizontal="center" vertical="center" wrapText="1"/>
    </xf>
    <xf numFmtId="0" fontId="50" fillId="0" borderId="0" xfId="0" applyFont="1" applyAlignment="1">
      <alignment horizontal="left" vertical="center"/>
    </xf>
    <xf numFmtId="0" fontId="50" fillId="0" borderId="0" xfId="0" applyFont="1" applyAlignment="1">
      <alignment vertical="center"/>
    </xf>
    <xf numFmtId="43" fontId="77" fillId="0" borderId="0" xfId="1" applyFont="1" applyAlignment="1">
      <alignment horizontal="centerContinuous" vertical="center"/>
    </xf>
    <xf numFmtId="0" fontId="51" fillId="0" borderId="34" xfId="0" applyFont="1" applyBorder="1" applyAlignment="1">
      <alignment vertical="center"/>
    </xf>
    <xf numFmtId="0" fontId="51" fillId="0" borderId="21" xfId="0" applyFont="1" applyBorder="1" applyAlignment="1">
      <alignment vertical="center"/>
    </xf>
    <xf numFmtId="0" fontId="51" fillId="0" borderId="22" xfId="0" applyFont="1" applyBorder="1" applyAlignment="1">
      <alignment vertical="center"/>
    </xf>
    <xf numFmtId="0" fontId="10" fillId="12" borderId="0" xfId="0" applyFont="1" applyFill="1"/>
    <xf numFmtId="43" fontId="86" fillId="0" borderId="0" xfId="1" applyFont="1" applyBorder="1" applyAlignment="1">
      <alignment horizontal="center" vertical="center"/>
    </xf>
    <xf numFmtId="0" fontId="86" fillId="4" borderId="0" xfId="0" applyFont="1" applyFill="1" applyAlignment="1">
      <alignment horizontal="left" vertical="center"/>
    </xf>
    <xf numFmtId="0" fontId="86" fillId="4" borderId="0" xfId="0" applyFont="1" applyFill="1" applyAlignment="1">
      <alignment horizontal="center" vertical="center"/>
    </xf>
    <xf numFmtId="0" fontId="84" fillId="0" borderId="0" xfId="0" applyFont="1" applyAlignment="1">
      <alignment horizontal="left" vertical="center"/>
    </xf>
    <xf numFmtId="0" fontId="84" fillId="0" borderId="0" xfId="0" applyFont="1" applyAlignment="1">
      <alignment horizontal="center" vertical="center"/>
    </xf>
    <xf numFmtId="164" fontId="84" fillId="0" borderId="0" xfId="1" applyNumberFormat="1" applyFont="1" applyBorder="1" applyAlignment="1">
      <alignment horizontal="center" vertical="center"/>
    </xf>
    <xf numFmtId="0" fontId="84" fillId="0" borderId="0" xfId="0" applyFont="1" applyAlignment="1">
      <alignment horizontal="centerContinuous" vertical="center"/>
    </xf>
    <xf numFmtId="0" fontId="78" fillId="0" borderId="0" xfId="0" applyFont="1" applyAlignment="1">
      <alignment horizontal="center" vertical="center"/>
    </xf>
    <xf numFmtId="0" fontId="85" fillId="0" borderId="0" xfId="0" applyFont="1" applyAlignment="1">
      <alignment horizontal="left" vertical="center"/>
    </xf>
    <xf numFmtId="0" fontId="85" fillId="0" borderId="0" xfId="0" applyFont="1" applyAlignment="1">
      <alignment horizontal="center" vertical="center"/>
    </xf>
    <xf numFmtId="41" fontId="59" fillId="0" borderId="5" xfId="0" applyNumberFormat="1" applyFont="1" applyBorder="1" applyAlignment="1">
      <alignment horizontal="center" vertical="center" shrinkToFit="1"/>
    </xf>
    <xf numFmtId="41" fontId="59" fillId="0" borderId="25" xfId="0" applyNumberFormat="1" applyFont="1" applyBorder="1" applyAlignment="1">
      <alignment horizontal="center" vertical="center" shrinkToFit="1"/>
    </xf>
    <xf numFmtId="41" fontId="59" fillId="0" borderId="4" xfId="0" applyNumberFormat="1" applyFont="1" applyBorder="1" applyAlignment="1">
      <alignment horizontal="center" vertical="center" shrinkToFit="1"/>
    </xf>
    <xf numFmtId="41" fontId="59" fillId="0" borderId="27" xfId="0" applyNumberFormat="1" applyFont="1" applyBorder="1" applyAlignment="1">
      <alignment horizontal="center" vertical="center" shrinkToFit="1"/>
    </xf>
    <xf numFmtId="164" fontId="41" fillId="0" borderId="0" xfId="1" applyNumberFormat="1" applyFont="1" applyBorder="1" applyAlignment="1">
      <alignment horizontal="center" vertical="center"/>
    </xf>
    <xf numFmtId="0" fontId="32" fillId="0" borderId="6" xfId="0" applyFont="1" applyBorder="1" applyAlignment="1">
      <alignment horizontal="center" vertical="center"/>
    </xf>
    <xf numFmtId="164" fontId="32" fillId="0" borderId="6" xfId="1" applyNumberFormat="1" applyFont="1" applyBorder="1" applyAlignment="1">
      <alignment horizontal="center" vertical="center" shrinkToFit="1"/>
    </xf>
    <xf numFmtId="0" fontId="36" fillId="0" borderId="6" xfId="0" applyFont="1" applyBorder="1" applyAlignment="1">
      <alignment horizontal="center" vertical="center"/>
    </xf>
    <xf numFmtId="0" fontId="36" fillId="0" borderId="19" xfId="0" quotePrefix="1" applyFont="1" applyBorder="1" applyAlignment="1">
      <alignment vertical="center" wrapText="1"/>
    </xf>
    <xf numFmtId="0" fontId="36" fillId="0" borderId="19" xfId="0" applyFont="1" applyBorder="1" applyAlignment="1">
      <alignment horizontal="center" vertical="center" wrapText="1"/>
    </xf>
    <xf numFmtId="0" fontId="36" fillId="0" borderId="19" xfId="0" quotePrefix="1" applyFont="1" applyBorder="1" applyAlignment="1">
      <alignment horizontal="left" vertical="center" wrapText="1"/>
    </xf>
    <xf numFmtId="0" fontId="36" fillId="4" borderId="19" xfId="28" quotePrefix="1" applyFont="1" applyFill="1" applyBorder="1" applyAlignment="1">
      <alignment horizontal="left" vertical="center" wrapText="1"/>
    </xf>
    <xf numFmtId="0" fontId="36" fillId="4" borderId="19" xfId="0" quotePrefix="1" applyFont="1" applyFill="1" applyBorder="1" applyAlignment="1">
      <alignment vertical="center" wrapText="1"/>
    </xf>
    <xf numFmtId="0" fontId="32" fillId="0" borderId="19" xfId="0" applyFont="1" applyBorder="1" applyAlignment="1">
      <alignment horizontal="left" vertical="center"/>
    </xf>
    <xf numFmtId="0" fontId="36" fillId="4" borderId="19" xfId="28" applyFont="1" applyFill="1" applyBorder="1" applyAlignment="1">
      <alignment horizontal="left" vertical="center" wrapText="1"/>
    </xf>
    <xf numFmtId="0" fontId="15" fillId="0" borderId="19" xfId="0" applyFont="1" applyBorder="1" applyAlignment="1">
      <alignment horizontal="center" vertical="center"/>
    </xf>
    <xf numFmtId="0" fontId="35" fillId="4" borderId="19" xfId="0" applyFont="1" applyFill="1" applyBorder="1" applyAlignment="1">
      <alignment horizontal="center" vertical="center"/>
    </xf>
    <xf numFmtId="0" fontId="50" fillId="4" borderId="0" xfId="28" applyFont="1" applyFill="1" applyAlignment="1">
      <alignment horizontal="center" vertical="center" wrapText="1"/>
    </xf>
    <xf numFmtId="165" fontId="49" fillId="0" borderId="19" xfId="4" applyNumberFormat="1" applyFont="1" applyBorder="1" applyAlignment="1">
      <alignment horizontal="center" vertical="center" shrinkToFit="1"/>
    </xf>
    <xf numFmtId="164" fontId="50" fillId="0" borderId="19" xfId="1" applyNumberFormat="1" applyFont="1" applyBorder="1" applyAlignment="1">
      <alignment horizontal="center" vertical="center" shrinkToFit="1"/>
    </xf>
    <xf numFmtId="14" fontId="50" fillId="4" borderId="19" xfId="28" applyNumberFormat="1" applyFont="1" applyFill="1" applyBorder="1" applyAlignment="1">
      <alignment horizontal="center" vertical="center" wrapText="1"/>
    </xf>
    <xf numFmtId="164" fontId="64" fillId="4" borderId="4" xfId="1" applyNumberFormat="1" applyFont="1" applyFill="1" applyBorder="1" applyAlignment="1">
      <alignment horizontal="center" vertical="center" shrinkToFit="1"/>
    </xf>
    <xf numFmtId="164" fontId="64" fillId="4" borderId="5" xfId="1" applyNumberFormat="1" applyFont="1" applyFill="1" applyBorder="1" applyAlignment="1">
      <alignment horizontal="center" vertical="center" shrinkToFit="1"/>
    </xf>
    <xf numFmtId="164" fontId="60" fillId="4" borderId="4" xfId="1" applyNumberFormat="1" applyFont="1" applyFill="1" applyBorder="1" applyAlignment="1">
      <alignment horizontal="center" vertical="center" shrinkToFit="1"/>
    </xf>
    <xf numFmtId="164" fontId="64" fillId="4" borderId="25" xfId="1" applyNumberFormat="1" applyFont="1" applyFill="1" applyBorder="1" applyAlignment="1">
      <alignment horizontal="center" vertical="center" shrinkToFit="1"/>
    </xf>
    <xf numFmtId="0" fontId="64" fillId="4" borderId="4" xfId="0" applyFont="1" applyFill="1" applyBorder="1" applyAlignment="1">
      <alignment horizontal="right" vertical="center"/>
    </xf>
    <xf numFmtId="43" fontId="42" fillId="0" borderId="0" xfId="1" applyFont="1" applyBorder="1" applyAlignment="1">
      <alignment horizontal="center" vertical="center"/>
    </xf>
    <xf numFmtId="0" fontId="0" fillId="12" borderId="19" xfId="0" applyFill="1" applyBorder="1"/>
    <xf numFmtId="0" fontId="0" fillId="13" borderId="19" xfId="0" applyFill="1" applyBorder="1"/>
    <xf numFmtId="0" fontId="0" fillId="14" borderId="0" xfId="0" applyFill="1"/>
    <xf numFmtId="0" fontId="0" fillId="15" borderId="0" xfId="0" applyFill="1"/>
    <xf numFmtId="0" fontId="0" fillId="16" borderId="19" xfId="0" applyFill="1" applyBorder="1"/>
    <xf numFmtId="0" fontId="0" fillId="17" borderId="19" xfId="0" applyFill="1" applyBorder="1"/>
    <xf numFmtId="0" fontId="0" fillId="18" borderId="19" xfId="0" applyFill="1" applyBorder="1"/>
    <xf numFmtId="164" fontId="32" fillId="10" borderId="19" xfId="1" applyNumberFormat="1" applyFont="1" applyFill="1" applyBorder="1" applyAlignment="1">
      <alignment horizontal="center" vertical="center" shrinkToFit="1"/>
    </xf>
    <xf numFmtId="0" fontId="93" fillId="0" borderId="19" xfId="0" applyFont="1" applyBorder="1" applyAlignment="1">
      <alignment horizontal="left" vertical="center"/>
    </xf>
    <xf numFmtId="0" fontId="94" fillId="0" borderId="19" xfId="0" applyFont="1" applyBorder="1" applyAlignment="1">
      <alignment horizontal="left" vertical="center"/>
    </xf>
    <xf numFmtId="0" fontId="93" fillId="0" borderId="19" xfId="0" applyFont="1" applyBorder="1" applyAlignment="1">
      <alignment horizontal="center" vertical="center"/>
    </xf>
    <xf numFmtId="164" fontId="33" fillId="0" borderId="19" xfId="1" applyNumberFormat="1" applyFont="1" applyBorder="1" applyAlignment="1">
      <alignment horizontal="center" vertical="center"/>
    </xf>
    <xf numFmtId="0" fontId="93" fillId="10" borderId="19" xfId="0" applyFont="1" applyFill="1" applyBorder="1" applyAlignment="1">
      <alignment horizontal="left" vertical="center"/>
    </xf>
    <xf numFmtId="0" fontId="33" fillId="10" borderId="19" xfId="0" applyFont="1" applyFill="1" applyBorder="1" applyAlignment="1">
      <alignment horizontal="left" vertical="center"/>
    </xf>
    <xf numFmtId="0" fontId="93" fillId="10" borderId="19" xfId="0" applyFont="1" applyFill="1" applyBorder="1" applyAlignment="1">
      <alignment horizontal="center" vertical="center"/>
    </xf>
    <xf numFmtId="164" fontId="33" fillId="10" borderId="19" xfId="1" applyNumberFormat="1" applyFont="1" applyFill="1" applyBorder="1" applyAlignment="1">
      <alignment horizontal="center" vertical="center"/>
    </xf>
    <xf numFmtId="0" fontId="33" fillId="0" borderId="19" xfId="0" applyFont="1" applyBorder="1" applyAlignment="1">
      <alignment horizontal="center" vertical="center"/>
    </xf>
    <xf numFmtId="0" fontId="33" fillId="10" borderId="19" xfId="0" applyFont="1" applyFill="1" applyBorder="1" applyAlignment="1">
      <alignment horizontal="center" vertical="center"/>
    </xf>
    <xf numFmtId="164" fontId="33" fillId="0" borderId="19" xfId="1" applyNumberFormat="1" applyFont="1" applyBorder="1" applyAlignment="1">
      <alignment horizontal="center" vertical="center" wrapText="1"/>
    </xf>
    <xf numFmtId="0" fontId="32" fillId="10" borderId="19" xfId="0" applyFont="1" applyFill="1" applyBorder="1" applyAlignment="1">
      <alignment horizontal="center" vertical="center"/>
    </xf>
    <xf numFmtId="0" fontId="32" fillId="10" borderId="19" xfId="0" applyFont="1" applyFill="1" applyBorder="1" applyAlignment="1">
      <alignment horizontal="left" vertical="center" wrapText="1"/>
    </xf>
    <xf numFmtId="0" fontId="32" fillId="10" borderId="27" xfId="0" applyFont="1" applyFill="1" applyBorder="1" applyAlignment="1">
      <alignment horizontal="center" vertical="center"/>
    </xf>
    <xf numFmtId="164" fontId="32" fillId="10" borderId="27" xfId="1" applyNumberFormat="1" applyFont="1" applyFill="1" applyBorder="1" applyAlignment="1">
      <alignment horizontal="center" vertical="center" shrinkToFit="1"/>
    </xf>
    <xf numFmtId="0" fontId="35" fillId="8" borderId="19" xfId="0" applyFont="1" applyFill="1" applyBorder="1" applyAlignment="1">
      <alignment horizontal="center" vertical="center"/>
    </xf>
    <xf numFmtId="3" fontId="32" fillId="8" borderId="23" xfId="0" applyNumberFormat="1" applyFont="1" applyFill="1" applyBorder="1" applyAlignment="1">
      <alignment horizontal="center" vertical="center" shrinkToFit="1"/>
    </xf>
    <xf numFmtId="0" fontId="93" fillId="0" borderId="19" xfId="0" applyFont="1" applyBorder="1" applyAlignment="1">
      <alignment horizontal="left" vertical="center" wrapText="1"/>
    </xf>
    <xf numFmtId="0" fontId="32" fillId="10" borderId="20" xfId="0" applyFont="1" applyFill="1" applyBorder="1" applyAlignment="1">
      <alignment horizontal="center" vertical="center"/>
    </xf>
    <xf numFmtId="0" fontId="32" fillId="10" borderId="20" xfId="0" applyFont="1" applyFill="1" applyBorder="1" applyAlignment="1">
      <alignment horizontal="left" vertical="center" wrapText="1"/>
    </xf>
    <xf numFmtId="0" fontId="36" fillId="10" borderId="20" xfId="0" applyFont="1" applyFill="1" applyBorder="1" applyAlignment="1">
      <alignment horizontal="left" vertical="center" wrapText="1"/>
    </xf>
    <xf numFmtId="0" fontId="36" fillId="10" borderId="20" xfId="0" applyFont="1" applyFill="1" applyBorder="1" applyAlignment="1">
      <alignment horizontal="center" vertical="center"/>
    </xf>
    <xf numFmtId="164" fontId="32" fillId="0" borderId="19" xfId="1" applyNumberFormat="1" applyFont="1" applyFill="1" applyBorder="1" applyAlignment="1">
      <alignment horizontal="center" vertical="center" shrinkToFit="1"/>
    </xf>
    <xf numFmtId="0" fontId="0" fillId="13" borderId="0" xfId="0" applyFill="1"/>
    <xf numFmtId="0" fontId="0" fillId="13" borderId="19" xfId="0" applyFill="1" applyBorder="1" applyAlignment="1">
      <alignment horizontal="right"/>
    </xf>
    <xf numFmtId="0" fontId="0" fillId="0" borderId="19" xfId="0" applyBorder="1" applyAlignment="1">
      <alignment horizontal="right"/>
    </xf>
    <xf numFmtId="0" fontId="0" fillId="17" borderId="19" xfId="0" applyFill="1" applyBorder="1" applyAlignment="1">
      <alignment horizontal="right"/>
    </xf>
    <xf numFmtId="0" fontId="36" fillId="0" borderId="7" xfId="0" applyFont="1" applyBorder="1" applyAlignment="1">
      <alignment horizontal="center" vertical="center"/>
    </xf>
    <xf numFmtId="0" fontId="39" fillId="0" borderId="0" xfId="0" applyFont="1" applyAlignment="1">
      <alignment horizontal="center" vertical="center"/>
    </xf>
    <xf numFmtId="0" fontId="34" fillId="8" borderId="23" xfId="0" applyFont="1" applyFill="1" applyBorder="1" applyAlignment="1">
      <alignment horizontal="left" vertical="center"/>
    </xf>
    <xf numFmtId="0" fontId="34" fillId="8" borderId="23" xfId="0" applyFont="1" applyFill="1" applyBorder="1" applyAlignment="1">
      <alignment horizontal="left" vertical="center"/>
    </xf>
    <xf numFmtId="0" fontId="36" fillId="10" borderId="19" xfId="0" applyFont="1" applyFill="1" applyBorder="1" applyAlignment="1">
      <alignment horizontal="center" vertical="center" wrapText="1"/>
    </xf>
    <xf numFmtId="0" fontId="32" fillId="0" borderId="19" xfId="0" applyFont="1" applyFill="1" applyBorder="1" applyAlignment="1">
      <alignment horizontal="center" vertical="center"/>
    </xf>
    <xf numFmtId="0" fontId="32" fillId="0" borderId="19" xfId="0" applyFont="1" applyFill="1" applyBorder="1" applyAlignment="1">
      <alignment horizontal="left" vertical="center" wrapText="1"/>
    </xf>
    <xf numFmtId="0" fontId="36" fillId="0" borderId="19" xfId="0" applyFont="1" applyFill="1" applyBorder="1" applyAlignment="1">
      <alignment horizontal="center" vertical="center"/>
    </xf>
    <xf numFmtId="0" fontId="34" fillId="2" borderId="20" xfId="0" applyFont="1" applyFill="1" applyBorder="1" applyAlignment="1">
      <alignment horizontal="center" vertical="center" wrapText="1"/>
    </xf>
    <xf numFmtId="164" fontId="32" fillId="10" borderId="18" xfId="1" applyNumberFormat="1" applyFont="1" applyFill="1" applyBorder="1" applyAlignment="1">
      <alignment horizontal="center" vertical="center" shrinkToFit="1"/>
    </xf>
    <xf numFmtId="43" fontId="32" fillId="0" borderId="19" xfId="1" applyNumberFormat="1" applyFont="1" applyBorder="1" applyAlignment="1">
      <alignment horizontal="center" vertical="center" shrinkToFit="1"/>
    </xf>
    <xf numFmtId="43" fontId="32" fillId="10" borderId="19" xfId="1" applyNumberFormat="1" applyFont="1" applyFill="1" applyBorder="1" applyAlignment="1">
      <alignment horizontal="center" vertical="center" shrinkToFit="1"/>
    </xf>
    <xf numFmtId="43" fontId="93" fillId="10" borderId="19" xfId="0" applyNumberFormat="1" applyFont="1" applyFill="1" applyBorder="1" applyAlignment="1">
      <alignment horizontal="center" vertical="center"/>
    </xf>
    <xf numFmtId="43" fontId="32" fillId="0" borderId="19" xfId="1" applyNumberFormat="1" applyFont="1" applyFill="1" applyBorder="1" applyAlignment="1">
      <alignment horizontal="center" vertical="center" shrinkToFit="1"/>
    </xf>
    <xf numFmtId="43" fontId="32" fillId="8" borderId="19" xfId="1" applyNumberFormat="1" applyFont="1" applyFill="1" applyBorder="1" applyAlignment="1">
      <alignment horizontal="center" vertical="center" shrinkToFit="1"/>
    </xf>
    <xf numFmtId="0" fontId="34" fillId="8" borderId="19" xfId="0" applyFont="1" applyFill="1" applyBorder="1" applyAlignment="1">
      <alignment horizontal="center" vertical="center"/>
    </xf>
    <xf numFmtId="0" fontId="32" fillId="0" borderId="19" xfId="1" applyNumberFormat="1" applyFont="1" applyFill="1" applyBorder="1" applyAlignment="1">
      <alignment horizontal="center" vertical="center" shrinkToFit="1"/>
    </xf>
    <xf numFmtId="169" fontId="32" fillId="0" borderId="19" xfId="1" applyNumberFormat="1" applyFont="1" applyFill="1" applyBorder="1" applyAlignment="1">
      <alignment horizontal="center" vertical="center" shrinkToFit="1"/>
    </xf>
    <xf numFmtId="0" fontId="50" fillId="11" borderId="51" xfId="37" applyFont="1" applyFill="1" applyBorder="1" applyAlignment="1">
      <alignment horizontal="right"/>
    </xf>
    <xf numFmtId="0" fontId="50" fillId="11" borderId="52" xfId="37" applyFont="1" applyFill="1" applyBorder="1" applyAlignment="1">
      <alignment horizontal="right"/>
    </xf>
    <xf numFmtId="0" fontId="50" fillId="11" borderId="53" xfId="37" applyFont="1" applyFill="1" applyBorder="1" applyAlignment="1">
      <alignment horizontal="left"/>
    </xf>
    <xf numFmtId="0" fontId="50" fillId="11" borderId="54" xfId="37" applyFont="1" applyFill="1" applyBorder="1" applyAlignment="1">
      <alignment horizontal="left"/>
    </xf>
    <xf numFmtId="0" fontId="80" fillId="0" borderId="0" xfId="37" quotePrefix="1" applyFont="1" applyAlignment="1">
      <alignment horizontal="left" vertical="center" wrapText="1"/>
    </xf>
    <xf numFmtId="0" fontId="51" fillId="0" borderId="19" xfId="37" applyFont="1" applyBorder="1" applyAlignment="1">
      <alignment horizontal="left" vertical="center" wrapText="1"/>
    </xf>
    <xf numFmtId="0" fontId="51" fillId="0" borderId="21" xfId="37" applyFont="1" applyBorder="1" applyAlignment="1">
      <alignment horizontal="left" vertical="center" wrapText="1"/>
    </xf>
    <xf numFmtId="0" fontId="51" fillId="0" borderId="22" xfId="37" applyFont="1" applyBorder="1" applyAlignment="1">
      <alignment horizontal="left" vertical="center" wrapText="1"/>
    </xf>
    <xf numFmtId="0" fontId="50" fillId="11" borderId="49" xfId="37" applyFont="1" applyFill="1" applyBorder="1" applyAlignment="1">
      <alignment horizontal="right"/>
    </xf>
    <xf numFmtId="0" fontId="50" fillId="11" borderId="23" xfId="37" applyFont="1" applyFill="1" applyBorder="1" applyAlignment="1">
      <alignment horizontal="right"/>
    </xf>
    <xf numFmtId="0" fontId="50" fillId="11" borderId="22" xfId="37" applyFont="1" applyFill="1" applyBorder="1" applyAlignment="1">
      <alignment horizontal="right"/>
    </xf>
    <xf numFmtId="0" fontId="50" fillId="11" borderId="50" xfId="37" applyFont="1" applyFill="1" applyBorder="1" applyAlignment="1">
      <alignment horizontal="right"/>
    </xf>
    <xf numFmtId="0" fontId="50" fillId="11" borderId="19" xfId="37" applyFont="1" applyFill="1" applyBorder="1" applyAlignment="1">
      <alignment horizontal="right"/>
    </xf>
    <xf numFmtId="0" fontId="51" fillId="0" borderId="0" xfId="37" applyFont="1" applyAlignment="1">
      <alignment horizontal="left"/>
    </xf>
    <xf numFmtId="0" fontId="77" fillId="0" borderId="37" xfId="37" applyFont="1" applyBorder="1" applyAlignment="1">
      <alignment horizontal="left" wrapText="1"/>
    </xf>
    <xf numFmtId="0" fontId="50" fillId="11" borderId="39" xfId="37" applyFont="1" applyFill="1" applyBorder="1" applyAlignment="1">
      <alignment horizontal="center" vertical="center" wrapText="1"/>
    </xf>
    <xf numFmtId="0" fontId="50" fillId="11" borderId="40" xfId="37" applyFont="1" applyFill="1" applyBorder="1" applyAlignment="1">
      <alignment horizontal="center" vertical="center" wrapText="1"/>
    </xf>
    <xf numFmtId="0" fontId="50" fillId="0" borderId="0" xfId="37" applyFont="1" applyAlignment="1">
      <alignment horizontal="center" vertical="center"/>
    </xf>
    <xf numFmtId="0" fontId="76" fillId="0" borderId="0" xfId="37" applyFont="1" applyAlignment="1">
      <alignment horizontal="center" vertical="center"/>
    </xf>
    <xf numFmtId="164" fontId="56" fillId="3" borderId="28" xfId="0" applyNumberFormat="1" applyFont="1" applyFill="1" applyBorder="1" applyAlignment="1">
      <alignment horizontal="center" vertical="center"/>
    </xf>
    <xf numFmtId="164" fontId="56" fillId="3" borderId="29" xfId="0" applyNumberFormat="1" applyFont="1" applyFill="1" applyBorder="1" applyAlignment="1">
      <alignment horizontal="center" vertical="center"/>
    </xf>
    <xf numFmtId="166" fontId="56" fillId="0" borderId="0" xfId="0" applyNumberFormat="1" applyFont="1" applyAlignment="1">
      <alignment horizontal="center" vertical="center"/>
    </xf>
    <xf numFmtId="0" fontId="56" fillId="0" borderId="0" xfId="0" applyFont="1" applyAlignment="1">
      <alignment horizontal="center" vertical="center"/>
    </xf>
    <xf numFmtId="164" fontId="72" fillId="0" borderId="28" xfId="1" applyNumberFormat="1" applyFont="1" applyBorder="1" applyAlignment="1">
      <alignment horizontal="center" vertical="center"/>
    </xf>
    <xf numFmtId="164" fontId="72" fillId="0" borderId="29" xfId="1" applyNumberFormat="1" applyFont="1" applyBorder="1" applyAlignment="1">
      <alignment horizontal="center" vertical="center"/>
    </xf>
    <xf numFmtId="164" fontId="72" fillId="0" borderId="0" xfId="1" applyNumberFormat="1" applyFont="1" applyBorder="1" applyAlignment="1">
      <alignment horizontal="center" vertical="center"/>
    </xf>
    <xf numFmtId="164" fontId="59" fillId="4" borderId="28" xfId="0" applyNumberFormat="1" applyFont="1" applyFill="1" applyBorder="1" applyAlignment="1">
      <alignment horizontal="center" vertical="center"/>
    </xf>
    <xf numFmtId="164" fontId="59" fillId="4" borderId="29" xfId="0" applyNumberFormat="1" applyFont="1" applyFill="1" applyBorder="1" applyAlignment="1">
      <alignment horizontal="center" vertical="center"/>
    </xf>
    <xf numFmtId="164" fontId="59" fillId="0" borderId="0" xfId="0" applyNumberFormat="1" applyFont="1" applyAlignment="1">
      <alignment horizontal="center" vertical="center"/>
    </xf>
    <xf numFmtId="164" fontId="59" fillId="4" borderId="28" xfId="0" applyNumberFormat="1" applyFont="1" applyFill="1" applyBorder="1" applyAlignment="1">
      <alignment horizontal="center" vertical="center" wrapText="1"/>
    </xf>
    <xf numFmtId="164" fontId="59" fillId="4" borderId="29" xfId="0" applyNumberFormat="1" applyFont="1" applyFill="1" applyBorder="1" applyAlignment="1">
      <alignment horizontal="center" vertical="center" wrapText="1"/>
    </xf>
    <xf numFmtId="164" fontId="56" fillId="3" borderId="28" xfId="0" applyNumberFormat="1" applyFont="1" applyFill="1" applyBorder="1" applyAlignment="1">
      <alignment horizontal="center" vertical="center" wrapText="1"/>
    </xf>
    <xf numFmtId="164" fontId="56" fillId="3" borderId="29" xfId="0" applyNumberFormat="1" applyFont="1" applyFill="1" applyBorder="1" applyAlignment="1">
      <alignment horizontal="center" vertical="center" wrapText="1"/>
    </xf>
    <xf numFmtId="164" fontId="56" fillId="4" borderId="0" xfId="1" applyNumberFormat="1" applyFont="1" applyFill="1" applyAlignment="1">
      <alignment horizontal="center" vertical="center"/>
    </xf>
    <xf numFmtId="164" fontId="56" fillId="0" borderId="0" xfId="0" applyNumberFormat="1" applyFont="1" applyAlignment="1">
      <alignment horizontal="center" vertical="center"/>
    </xf>
    <xf numFmtId="164" fontId="56" fillId="4" borderId="28" xfId="0" applyNumberFormat="1" applyFont="1" applyFill="1" applyBorder="1" applyAlignment="1">
      <alignment horizontal="center" vertical="center" wrapText="1"/>
    </xf>
    <xf numFmtId="164" fontId="56" fillId="4" borderId="29" xfId="0" applyNumberFormat="1" applyFont="1" applyFill="1" applyBorder="1" applyAlignment="1">
      <alignment horizontal="center" vertical="center" wrapText="1"/>
    </xf>
    <xf numFmtId="164" fontId="59" fillId="0" borderId="0" xfId="1" applyNumberFormat="1" applyFont="1" applyBorder="1" applyAlignment="1">
      <alignment horizontal="center" vertical="center"/>
    </xf>
    <xf numFmtId="164" fontId="56" fillId="4" borderId="28" xfId="0" applyNumberFormat="1" applyFont="1" applyFill="1" applyBorder="1" applyAlignment="1">
      <alignment vertical="center" wrapText="1"/>
    </xf>
    <xf numFmtId="164" fontId="56" fillId="4" borderId="29" xfId="0" applyNumberFormat="1" applyFont="1" applyFill="1" applyBorder="1" applyAlignment="1">
      <alignment vertical="center" wrapText="1"/>
    </xf>
    <xf numFmtId="0" fontId="59" fillId="0" borderId="0" xfId="0" applyFont="1" applyAlignment="1">
      <alignment horizontal="center" vertical="center"/>
    </xf>
    <xf numFmtId="0" fontId="56" fillId="5" borderId="11" xfId="0" applyFont="1" applyFill="1" applyBorder="1" applyAlignment="1">
      <alignment horizontal="center" vertical="center"/>
    </xf>
    <xf numFmtId="0" fontId="56" fillId="5" borderId="18" xfId="0" applyFont="1" applyFill="1" applyBorder="1" applyAlignment="1">
      <alignment horizontal="center" vertical="center"/>
    </xf>
    <xf numFmtId="164" fontId="66" fillId="0" borderId="17" xfId="1" applyNumberFormat="1" applyFont="1" applyBorder="1" applyAlignment="1">
      <alignment horizontal="center" shrinkToFit="1"/>
    </xf>
    <xf numFmtId="164" fontId="69" fillId="0" borderId="17" xfId="1" applyNumberFormat="1" applyFont="1" applyBorder="1" applyAlignment="1">
      <alignment horizontal="center" shrinkToFit="1"/>
    </xf>
    <xf numFmtId="0" fontId="56" fillId="3" borderId="11" xfId="0" applyFont="1" applyFill="1" applyBorder="1" applyAlignment="1">
      <alignment horizontal="center" vertical="center" wrapText="1"/>
    </xf>
    <xf numFmtId="0" fontId="56" fillId="3" borderId="18" xfId="0" applyFont="1" applyFill="1" applyBorder="1" applyAlignment="1">
      <alignment horizontal="center" vertical="center" wrapText="1"/>
    </xf>
    <xf numFmtId="0" fontId="56" fillId="8" borderId="11" xfId="0" applyFont="1" applyFill="1" applyBorder="1" applyAlignment="1">
      <alignment horizontal="center" vertical="center" wrapText="1"/>
    </xf>
    <xf numFmtId="0" fontId="56" fillId="8" borderId="18" xfId="0" applyFont="1" applyFill="1" applyBorder="1" applyAlignment="1">
      <alignment horizontal="center" vertical="center" wrapText="1"/>
    </xf>
    <xf numFmtId="164" fontId="56" fillId="8" borderId="15" xfId="0" applyNumberFormat="1" applyFont="1" applyFill="1" applyBorder="1" applyAlignment="1">
      <alignment horizontal="center" vertical="center" wrapText="1"/>
    </xf>
    <xf numFmtId="164" fontId="56" fillId="8" borderId="12" xfId="0" applyNumberFormat="1" applyFont="1" applyFill="1" applyBorder="1" applyAlignment="1">
      <alignment horizontal="center" vertical="center" wrapText="1"/>
    </xf>
    <xf numFmtId="164" fontId="56" fillId="6" borderId="2" xfId="1" applyNumberFormat="1" applyFont="1" applyFill="1" applyBorder="1" applyAlignment="1">
      <alignment horizontal="center" vertical="center" wrapText="1"/>
    </xf>
    <xf numFmtId="164" fontId="56" fillId="6" borderId="11" xfId="1" applyNumberFormat="1" applyFont="1" applyFill="1" applyBorder="1" applyAlignment="1">
      <alignment horizontal="center" vertical="center" wrapText="1"/>
    </xf>
    <xf numFmtId="0" fontId="56" fillId="5" borderId="20" xfId="0" applyFont="1" applyFill="1" applyBorder="1" applyAlignment="1">
      <alignment horizontal="center" vertical="center"/>
    </xf>
    <xf numFmtId="0" fontId="56" fillId="5" borderId="7" xfId="0" applyFont="1" applyFill="1" applyBorder="1" applyAlignment="1">
      <alignment horizontal="center" vertical="center"/>
    </xf>
    <xf numFmtId="164" fontId="56" fillId="5" borderId="20" xfId="3" applyNumberFormat="1" applyFont="1" applyFill="1" applyBorder="1" applyAlignment="1">
      <alignment horizontal="center" vertical="center" wrapText="1"/>
    </xf>
    <xf numFmtId="164" fontId="56" fillId="5" borderId="7" xfId="3" applyNumberFormat="1" applyFont="1" applyFill="1" applyBorder="1" applyAlignment="1">
      <alignment horizontal="center" vertical="center" wrapText="1"/>
    </xf>
    <xf numFmtId="0" fontId="56" fillId="6" borderId="2" xfId="0" applyFont="1" applyFill="1" applyBorder="1" applyAlignment="1">
      <alignment horizontal="center" vertical="center" wrapText="1"/>
    </xf>
    <xf numFmtId="0" fontId="56" fillId="6" borderId="11" xfId="0" applyFont="1" applyFill="1" applyBorder="1" applyAlignment="1">
      <alignment horizontal="center" vertical="center" wrapText="1"/>
    </xf>
    <xf numFmtId="164" fontId="56" fillId="3" borderId="15" xfId="1" applyNumberFormat="1" applyFont="1" applyFill="1" applyBorder="1" applyAlignment="1">
      <alignment horizontal="center" vertical="center" wrapText="1"/>
    </xf>
    <xf numFmtId="164" fontId="56" fillId="3" borderId="12" xfId="1" applyNumberFormat="1" applyFont="1" applyFill="1" applyBorder="1" applyAlignment="1">
      <alignment horizontal="center" vertical="center" wrapText="1"/>
    </xf>
    <xf numFmtId="164" fontId="56" fillId="6" borderId="2" xfId="0" applyNumberFormat="1" applyFont="1" applyFill="1" applyBorder="1" applyAlignment="1">
      <alignment horizontal="center" vertical="center" wrapText="1"/>
    </xf>
    <xf numFmtId="164" fontId="56" fillId="6" borderId="11" xfId="0" applyNumberFormat="1" applyFont="1" applyFill="1" applyBorder="1" applyAlignment="1">
      <alignment horizontal="center" vertical="center" wrapText="1"/>
    </xf>
    <xf numFmtId="0" fontId="74" fillId="0" borderId="1" xfId="0" applyFont="1" applyBorder="1" applyAlignment="1">
      <alignment horizontal="center" vertical="center"/>
    </xf>
    <xf numFmtId="0" fontId="56" fillId="5" borderId="20" xfId="0" applyFont="1" applyFill="1" applyBorder="1" applyAlignment="1">
      <alignment horizontal="center" vertical="center" wrapText="1"/>
    </xf>
    <xf numFmtId="0" fontId="56" fillId="5" borderId="7" xfId="0" applyFont="1" applyFill="1" applyBorder="1" applyAlignment="1">
      <alignment horizontal="center" vertical="center" wrapText="1"/>
    </xf>
    <xf numFmtId="0" fontId="32" fillId="0" borderId="57" xfId="0" applyFont="1" applyBorder="1" applyAlignment="1">
      <alignment horizontal="left" vertical="center" wrapText="1"/>
    </xf>
    <xf numFmtId="0" fontId="32" fillId="0" borderId="58" xfId="0" applyFont="1" applyBorder="1" applyAlignment="1">
      <alignment horizontal="left" vertical="center" wrapText="1"/>
    </xf>
    <xf numFmtId="0" fontId="32" fillId="0" borderId="19" xfId="0" applyFont="1" applyBorder="1" applyAlignment="1">
      <alignment vertical="center" wrapText="1"/>
    </xf>
    <xf numFmtId="0" fontId="92" fillId="0" borderId="0" xfId="0" applyFont="1" applyAlignment="1">
      <alignment horizontal="center" vertical="center"/>
    </xf>
    <xf numFmtId="0" fontId="32" fillId="0" borderId="19" xfId="0" applyFont="1" applyBorder="1" applyAlignment="1">
      <alignment horizontal="left" vertical="center" wrapText="1"/>
    </xf>
    <xf numFmtId="0" fontId="32" fillId="0" borderId="21" xfId="0" applyFont="1" applyBorder="1" applyAlignment="1">
      <alignment horizontal="left" vertical="center" wrapText="1"/>
    </xf>
    <xf numFmtId="0" fontId="32" fillId="0" borderId="22" xfId="0" applyFont="1" applyBorder="1" applyAlignment="1">
      <alignment horizontal="left" vertical="center" wrapText="1"/>
    </xf>
    <xf numFmtId="0" fontId="34" fillId="8" borderId="21" xfId="0" applyFont="1" applyFill="1" applyBorder="1" applyAlignment="1">
      <alignment horizontal="left" vertical="center"/>
    </xf>
    <xf numFmtId="0" fontId="34" fillId="8" borderId="23" xfId="0" applyFont="1" applyFill="1" applyBorder="1" applyAlignment="1">
      <alignment horizontal="left" vertical="center"/>
    </xf>
    <xf numFmtId="0" fontId="39" fillId="0" borderId="0" xfId="0" applyFont="1" applyAlignment="1">
      <alignment horizontal="center" vertical="center"/>
    </xf>
    <xf numFmtId="0" fontId="39" fillId="0" borderId="12" xfId="0" applyFont="1" applyBorder="1" applyAlignment="1">
      <alignment horizontal="center" vertical="center"/>
    </xf>
    <xf numFmtId="0" fontId="44" fillId="0" borderId="0" xfId="0" applyFont="1" applyAlignment="1">
      <alignment horizontal="center" vertical="center"/>
    </xf>
    <xf numFmtId="0" fontId="33" fillId="0" borderId="21" xfId="0" applyFont="1" applyBorder="1" applyAlignment="1">
      <alignment horizontal="left" vertical="center" wrapText="1"/>
    </xf>
    <xf numFmtId="0" fontId="33" fillId="0" borderId="22" xfId="0" applyFont="1" applyBorder="1" applyAlignment="1">
      <alignment horizontal="left" vertical="center" wrapText="1"/>
    </xf>
    <xf numFmtId="43" fontId="42" fillId="0" borderId="0" xfId="1" applyFont="1" applyBorder="1" applyAlignment="1">
      <alignment horizontal="left" vertical="center"/>
    </xf>
    <xf numFmtId="0" fontId="33" fillId="0" borderId="21" xfId="0" applyFont="1" applyBorder="1" applyAlignment="1">
      <alignment horizontal="left" vertical="center"/>
    </xf>
    <xf numFmtId="0" fontId="33" fillId="0" borderId="22" xfId="0" applyFont="1" applyBorder="1" applyAlignment="1">
      <alignment horizontal="left" vertical="center"/>
    </xf>
    <xf numFmtId="0" fontId="33" fillId="4" borderId="21" xfId="0" applyFont="1" applyFill="1" applyBorder="1" applyAlignment="1">
      <alignment horizontal="left" vertical="center"/>
    </xf>
    <xf numFmtId="0" fontId="33" fillId="4" borderId="22" xfId="0" applyFont="1" applyFill="1" applyBorder="1" applyAlignment="1">
      <alignment horizontal="left" vertical="center"/>
    </xf>
    <xf numFmtId="0" fontId="39" fillId="0" borderId="0" xfId="0" quotePrefix="1" applyFont="1" applyAlignment="1">
      <alignment horizontal="center" vertical="center"/>
    </xf>
    <xf numFmtId="164" fontId="28" fillId="0" borderId="0" xfId="3" applyNumberFormat="1" applyFont="1" applyFill="1" applyBorder="1" applyAlignment="1">
      <alignment horizontal="center" vertical="center" wrapText="1"/>
    </xf>
    <xf numFmtId="0" fontId="25" fillId="0" borderId="0" xfId="0" applyFont="1" applyAlignment="1">
      <alignment horizontal="left" vertical="center" wrapText="1"/>
    </xf>
    <xf numFmtId="0" fontId="21" fillId="0" borderId="0" xfId="0" applyFont="1" applyAlignment="1">
      <alignment horizontal="center" vertical="center" wrapText="1"/>
    </xf>
    <xf numFmtId="0" fontId="23" fillId="0" borderId="0" xfId="0" applyFont="1" applyAlignment="1">
      <alignment horizontal="center" vertical="center" wrapText="1"/>
    </xf>
    <xf numFmtId="0" fontId="28" fillId="0" borderId="0" xfId="0" applyFont="1" applyAlignment="1">
      <alignment horizontal="center" vertical="center" wrapText="1"/>
    </xf>
    <xf numFmtId="0" fontId="30" fillId="0" borderId="0" xfId="2" applyFont="1" applyFill="1" applyBorder="1" applyAlignment="1">
      <alignment horizontal="center" vertical="center"/>
    </xf>
    <xf numFmtId="0" fontId="25" fillId="4" borderId="0" xfId="0" applyFont="1" applyFill="1" applyAlignment="1">
      <alignment horizontal="left" vertical="center" wrapText="1"/>
    </xf>
    <xf numFmtId="164" fontId="23" fillId="0" borderId="0" xfId="3" applyNumberFormat="1" applyFont="1" applyFill="1" applyBorder="1" applyAlignment="1">
      <alignment horizontal="center" vertical="center" wrapText="1"/>
    </xf>
    <xf numFmtId="0" fontId="34" fillId="2" borderId="19" xfId="0" applyFont="1" applyFill="1" applyBorder="1" applyAlignment="1">
      <alignment horizontal="center" vertical="center" wrapText="1"/>
    </xf>
    <xf numFmtId="43" fontId="42" fillId="0" borderId="0" xfId="1" applyFont="1" applyBorder="1" applyAlignment="1">
      <alignment horizontal="center" vertical="center"/>
    </xf>
    <xf numFmtId="0" fontId="51" fillId="0" borderId="0" xfId="28" applyFont="1" applyAlignment="1">
      <alignment horizontal="center"/>
    </xf>
    <xf numFmtId="0" fontId="50" fillId="0" borderId="0" xfId="32" applyFont="1" applyAlignment="1">
      <alignment horizontal="center" vertical="center"/>
    </xf>
    <xf numFmtId="0" fontId="50" fillId="8" borderId="19" xfId="28" applyFont="1" applyFill="1" applyBorder="1" applyAlignment="1">
      <alignment horizontal="center" vertical="center" wrapText="1"/>
    </xf>
    <xf numFmtId="167" fontId="49" fillId="0" borderId="26" xfId="28" applyNumberFormat="1" applyFont="1" applyBorder="1" applyAlignment="1">
      <alignment horizontal="center" vertical="center" shrinkToFit="1"/>
    </xf>
    <xf numFmtId="0" fontId="50" fillId="4" borderId="19" xfId="28" applyFont="1" applyFill="1" applyBorder="1" applyAlignment="1">
      <alignment horizontal="center" vertical="center" wrapText="1"/>
    </xf>
    <xf numFmtId="0" fontId="50" fillId="3" borderId="20" xfId="28" applyFont="1" applyFill="1" applyBorder="1" applyAlignment="1">
      <alignment horizontal="center" vertical="center" wrapText="1"/>
    </xf>
    <xf numFmtId="0" fontId="50" fillId="3" borderId="18" xfId="28" applyFont="1" applyFill="1" applyBorder="1" applyAlignment="1">
      <alignment horizontal="center" vertical="center" wrapText="1"/>
    </xf>
    <xf numFmtId="0" fontId="50" fillId="3" borderId="7" xfId="28" applyFont="1" applyFill="1" applyBorder="1" applyAlignment="1">
      <alignment horizontal="center" vertical="center" wrapText="1"/>
    </xf>
    <xf numFmtId="0" fontId="38" fillId="0" borderId="0" xfId="28" applyFont="1" applyAlignment="1">
      <alignment horizontal="center" vertical="center" wrapText="1"/>
    </xf>
    <xf numFmtId="0" fontId="50" fillId="3" borderId="20" xfId="28" applyFont="1" applyFill="1" applyBorder="1" applyAlignment="1">
      <alignment horizontal="center" vertical="center"/>
    </xf>
    <xf numFmtId="0" fontId="50" fillId="3" borderId="18" xfId="28" applyFont="1" applyFill="1" applyBorder="1" applyAlignment="1">
      <alignment horizontal="center" vertical="center"/>
    </xf>
    <xf numFmtId="0" fontId="50" fillId="3" borderId="7" xfId="28" applyFont="1" applyFill="1" applyBorder="1" applyAlignment="1">
      <alignment horizontal="center" vertical="center"/>
    </xf>
    <xf numFmtId="0" fontId="50" fillId="8" borderId="19" xfId="28" applyFont="1" applyFill="1" applyBorder="1" applyAlignment="1">
      <alignment horizontal="center" vertical="center"/>
    </xf>
    <xf numFmtId="0" fontId="50" fillId="3" borderId="19" xfId="28" applyFont="1" applyFill="1" applyBorder="1" applyAlignment="1">
      <alignment horizontal="center" vertical="center"/>
    </xf>
    <xf numFmtId="0" fontId="50" fillId="3" borderId="19" xfId="28" applyFont="1" applyFill="1" applyBorder="1" applyAlignment="1">
      <alignment horizontal="center" vertical="center" wrapText="1"/>
    </xf>
    <xf numFmtId="0" fontId="32" fillId="0" borderId="32" xfId="0" applyFont="1" applyBorder="1" applyAlignment="1">
      <alignment horizontal="left" vertical="center" wrapText="1"/>
    </xf>
    <xf numFmtId="0" fontId="32" fillId="0" borderId="33" xfId="0" applyFont="1" applyBorder="1" applyAlignment="1">
      <alignment horizontal="left" vertical="center" wrapText="1"/>
    </xf>
    <xf numFmtId="0" fontId="32" fillId="0" borderId="30" xfId="0" applyFont="1" applyBorder="1" applyAlignment="1">
      <alignment vertical="center" wrapText="1"/>
    </xf>
    <xf numFmtId="0" fontId="32" fillId="0" borderId="31" xfId="0" applyFont="1" applyBorder="1" applyAlignment="1">
      <alignment vertical="center" wrapText="1"/>
    </xf>
    <xf numFmtId="0" fontId="32" fillId="0" borderId="34" xfId="0" applyFont="1" applyBorder="1" applyAlignment="1">
      <alignment horizontal="left" vertical="center" wrapText="1"/>
    </xf>
    <xf numFmtId="0" fontId="32" fillId="0" borderId="35" xfId="0" applyFont="1" applyBorder="1" applyAlignment="1">
      <alignment horizontal="left" vertical="center" wrapText="1"/>
    </xf>
    <xf numFmtId="0" fontId="42" fillId="4" borderId="0" xfId="0" applyFont="1" applyFill="1" applyAlignment="1">
      <alignment horizontal="left" vertical="center" wrapText="1"/>
    </xf>
    <xf numFmtId="0" fontId="42" fillId="4" borderId="12" xfId="0" applyFont="1" applyFill="1" applyBorder="1" applyAlignment="1">
      <alignment horizontal="left" vertical="center" wrapText="1"/>
    </xf>
    <xf numFmtId="43" fontId="42" fillId="0" borderId="10" xfId="1" applyFont="1" applyBorder="1" applyAlignment="1">
      <alignment horizontal="left" vertical="center"/>
    </xf>
    <xf numFmtId="43" fontId="42" fillId="0" borderId="10" xfId="1" applyFont="1" applyBorder="1" applyAlignment="1">
      <alignment horizontal="center" vertical="center"/>
    </xf>
    <xf numFmtId="0" fontId="51" fillId="0" borderId="34" xfId="0" applyFont="1" applyBorder="1" applyAlignment="1">
      <alignment vertical="center" wrapText="1"/>
    </xf>
    <xf numFmtId="0" fontId="51" fillId="0" borderId="35" xfId="0" applyFont="1" applyBorder="1" applyAlignment="1">
      <alignment vertical="center" wrapText="1"/>
    </xf>
    <xf numFmtId="0" fontId="51" fillId="0" borderId="55" xfId="0" applyFont="1" applyBorder="1" applyAlignment="1">
      <alignment vertical="center" wrapText="1"/>
    </xf>
    <xf numFmtId="0" fontId="51" fillId="0" borderId="33" xfId="0" applyFont="1" applyBorder="1" applyAlignment="1">
      <alignment vertical="center" wrapText="1"/>
    </xf>
    <xf numFmtId="0" fontId="51" fillId="0" borderId="4" xfId="0" applyFont="1" applyBorder="1" applyAlignment="1">
      <alignment vertical="center" wrapText="1"/>
    </xf>
    <xf numFmtId="0" fontId="51" fillId="0" borderId="32" xfId="0" applyFont="1" applyBorder="1" applyAlignment="1">
      <alignment vertical="center" wrapText="1"/>
    </xf>
    <xf numFmtId="0" fontId="87" fillId="0" borderId="0" xfId="0" applyFont="1" applyAlignment="1">
      <alignment horizontal="left" vertical="center" wrapText="1"/>
    </xf>
    <xf numFmtId="0" fontId="91" fillId="0" borderId="0" xfId="0" applyFont="1" applyAlignment="1">
      <alignment horizontal="left" vertical="top" wrapText="1"/>
    </xf>
    <xf numFmtId="0" fontId="51" fillId="0" borderId="56" xfId="0" applyFont="1" applyBorder="1" applyAlignment="1">
      <alignment horizontal="left" vertical="center" wrapText="1"/>
    </xf>
    <xf numFmtId="0" fontId="51" fillId="0" borderId="31" xfId="0" applyFont="1" applyBorder="1" applyAlignment="1">
      <alignment horizontal="left" vertical="center" wrapText="1"/>
    </xf>
    <xf numFmtId="0" fontId="51" fillId="0" borderId="30" xfId="0" applyFont="1" applyBorder="1" applyAlignment="1">
      <alignment vertical="center" wrapText="1"/>
    </xf>
    <xf numFmtId="0" fontId="51" fillId="0" borderId="31" xfId="0" applyFont="1" applyBorder="1" applyAlignment="1">
      <alignment vertical="center" wrapText="1"/>
    </xf>
    <xf numFmtId="0" fontId="50" fillId="8" borderId="21" xfId="0" applyFont="1" applyFill="1" applyBorder="1" applyAlignment="1">
      <alignment horizontal="left" vertical="center"/>
    </xf>
    <xf numFmtId="0" fontId="50" fillId="8" borderId="23" xfId="0" applyFont="1" applyFill="1" applyBorder="1" applyAlignment="1">
      <alignment horizontal="left" vertical="center"/>
    </xf>
    <xf numFmtId="0" fontId="50" fillId="0" borderId="0" xfId="0" applyFont="1" applyAlignment="1">
      <alignment horizontal="center" vertical="center"/>
    </xf>
    <xf numFmtId="0" fontId="50" fillId="12" borderId="19" xfId="0" applyFont="1" applyFill="1" applyBorder="1" applyAlignment="1">
      <alignment horizontal="center" vertical="center" wrapText="1"/>
    </xf>
    <xf numFmtId="43" fontId="86" fillId="0" borderId="0" xfId="1" applyFont="1" applyBorder="1" applyAlignment="1">
      <alignment horizontal="left" vertical="center"/>
    </xf>
    <xf numFmtId="43" fontId="86" fillId="0" borderId="0" xfId="1" applyFont="1" applyBorder="1" applyAlignment="1">
      <alignment horizontal="center" vertical="center"/>
    </xf>
    <xf numFmtId="0" fontId="0" fillId="14" borderId="0" xfId="0" applyFill="1" applyAlignment="1">
      <alignment horizontal="center"/>
    </xf>
    <xf numFmtId="0" fontId="53" fillId="0" borderId="1" xfId="0" applyFont="1" applyBorder="1" applyAlignment="1">
      <alignment horizontal="center" vertical="center"/>
    </xf>
  </cellXfs>
  <cellStyles count="40">
    <cellStyle name="Comma" xfId="1" builtinId="3"/>
    <cellStyle name="Comma 2" xfId="6"/>
    <cellStyle name="Comma 2 2" xfId="14"/>
    <cellStyle name="Comma 2 2 2" xfId="29"/>
    <cellStyle name="Comma 2 3" xfId="20"/>
    <cellStyle name="Comma 3" xfId="3"/>
    <cellStyle name="Comma 3 2" xfId="34"/>
    <cellStyle name="Comma 4" xfId="8"/>
    <cellStyle name="Comma 4 2" xfId="16"/>
    <cellStyle name="Comma 4 3" xfId="22"/>
    <cellStyle name="Comma 5" xfId="11"/>
    <cellStyle name="Comma 5 2" xfId="19"/>
    <cellStyle name="Comma 5 3" xfId="25"/>
    <cellStyle name="Comma 6" xfId="12"/>
    <cellStyle name="Comma 6 2" xfId="26"/>
    <cellStyle name="Comma 7" xfId="30"/>
    <cellStyle name="Comma 8" xfId="38"/>
    <cellStyle name="Excel Built-in Normal" xfId="5"/>
    <cellStyle name="Hyperlink" xfId="2" builtinId="8"/>
    <cellStyle name="Hyperlink 2" xfId="31"/>
    <cellStyle name="Normal" xfId="0" builtinId="0"/>
    <cellStyle name="Normal 2" xfId="7"/>
    <cellStyle name="Normal 2 2" xfId="15"/>
    <cellStyle name="Normal 2 3" xfId="21"/>
    <cellStyle name="Normal 2 3 2" xfId="28"/>
    <cellStyle name="Normal 3" xfId="9"/>
    <cellStyle name="Normal 3 2" xfId="17"/>
    <cellStyle name="Normal 3 3" xfId="23"/>
    <cellStyle name="Normal 4" xfId="10"/>
    <cellStyle name="Normal 4 2" xfId="18"/>
    <cellStyle name="Normal 4 3" xfId="24"/>
    <cellStyle name="Normal 5" xfId="13"/>
    <cellStyle name="Normal 5 2" xfId="27"/>
    <cellStyle name="Normal 6" xfId="32"/>
    <cellStyle name="Normal 7" xfId="37"/>
    <cellStyle name="Percent" xfId="4" builtinId="5"/>
    <cellStyle name="Percent 2" xfId="35"/>
    <cellStyle name="Percent 3" xfId="33"/>
    <cellStyle name="Percent 3 4" xfId="36"/>
    <cellStyle name="Percent 4" xfId="39"/>
  </cellStyles>
  <dxfs count="10">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3A7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391105</xdr:colOff>
      <xdr:row>0</xdr:row>
      <xdr:rowOff>147239</xdr:rowOff>
    </xdr:from>
    <xdr:to>
      <xdr:col>1</xdr:col>
      <xdr:colOff>346365</xdr:colOff>
      <xdr:row>2</xdr:row>
      <xdr:rowOff>86589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1105" y="147239"/>
          <a:ext cx="821169" cy="718668"/>
        </a:xfrm>
        <a:prstGeom prst="rect">
          <a:avLst/>
        </a:prstGeom>
      </xdr:spPr>
    </xdr:pic>
    <xdr:clientData/>
  </xdr:twoCellAnchor>
  <xdr:oneCellAnchor>
    <xdr:from>
      <xdr:col>1</xdr:col>
      <xdr:colOff>3273138</xdr:colOff>
      <xdr:row>9</xdr:row>
      <xdr:rowOff>2078181</xdr:rowOff>
    </xdr:from>
    <xdr:ext cx="304800" cy="314325"/>
    <xdr:sp macro="" textlink="">
      <xdr:nvSpPr>
        <xdr:cNvPr id="3" name="AutoShape 2" descr="Káº¿t quáº£ hÃ¬nh áº£nh cho Speed dome camera">
          <a:extLst>
            <a:ext uri="{FF2B5EF4-FFF2-40B4-BE49-F238E27FC236}">
              <a16:creationId xmlns:a16="http://schemas.microsoft.com/office/drawing/2014/main" id="{00000000-0008-0000-0200-000003000000}"/>
            </a:ext>
          </a:extLst>
        </xdr:cNvPr>
        <xdr:cNvSpPr>
          <a:spLocks noChangeAspect="1" noChangeArrowheads="1"/>
        </xdr:cNvSpPr>
      </xdr:nvSpPr>
      <xdr:spPr bwMode="auto">
        <a:xfrm>
          <a:off x="3158838" y="195184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3425538</xdr:colOff>
      <xdr:row>9</xdr:row>
      <xdr:rowOff>2230581</xdr:rowOff>
    </xdr:from>
    <xdr:ext cx="304800" cy="314325"/>
    <xdr:sp macro="" textlink="">
      <xdr:nvSpPr>
        <xdr:cNvPr id="4" name="AutoShape 48" descr="Cambium E500 PL-E500EUCA-RW | Giá Rẻ, Chính Hãng, Nhiều Ưu Đãi">
          <a:extLst>
            <a:ext uri="{FF2B5EF4-FFF2-40B4-BE49-F238E27FC236}">
              <a16:creationId xmlns:a16="http://schemas.microsoft.com/office/drawing/2014/main" id="{00000000-0008-0000-0200-000004000000}"/>
            </a:ext>
          </a:extLst>
        </xdr:cNvPr>
        <xdr:cNvSpPr>
          <a:spLocks noChangeAspect="1" noChangeArrowheads="1"/>
        </xdr:cNvSpPr>
      </xdr:nvSpPr>
      <xdr:spPr bwMode="auto">
        <a:xfrm>
          <a:off x="3158838" y="196708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148938</xdr:colOff>
      <xdr:row>9</xdr:row>
      <xdr:rowOff>2382981</xdr:rowOff>
    </xdr:from>
    <xdr:ext cx="304800" cy="314325"/>
    <xdr:sp macro="" textlink="">
      <xdr:nvSpPr>
        <xdr:cNvPr id="5" name="AutoShape 48" descr="Cambium E500 PL-E500EUCA-RW | Giá Rẻ, Chính Hãng, Nhiều Ưu Đãi">
          <a:extLst>
            <a:ext uri="{FF2B5EF4-FFF2-40B4-BE49-F238E27FC236}">
              <a16:creationId xmlns:a16="http://schemas.microsoft.com/office/drawing/2014/main" id="{00000000-0008-0000-0200-000005000000}"/>
            </a:ext>
          </a:extLst>
        </xdr:cNvPr>
        <xdr:cNvSpPr>
          <a:spLocks noChangeAspect="1" noChangeArrowheads="1"/>
        </xdr:cNvSpPr>
      </xdr:nvSpPr>
      <xdr:spPr bwMode="auto">
        <a:xfrm>
          <a:off x="3311238" y="198232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301338</xdr:colOff>
      <xdr:row>9</xdr:row>
      <xdr:rowOff>2535381</xdr:rowOff>
    </xdr:from>
    <xdr:ext cx="304800" cy="314325"/>
    <xdr:sp macro="" textlink="">
      <xdr:nvSpPr>
        <xdr:cNvPr id="6" name="AutoShape 2" descr="Káº¿t quáº£ hÃ¬nh áº£nh cho Speed dome camera">
          <a:extLst>
            <a:ext uri="{FF2B5EF4-FFF2-40B4-BE49-F238E27FC236}">
              <a16:creationId xmlns:a16="http://schemas.microsoft.com/office/drawing/2014/main" id="{00000000-0008-0000-0200-000006000000}"/>
            </a:ext>
          </a:extLst>
        </xdr:cNvPr>
        <xdr:cNvSpPr>
          <a:spLocks noChangeAspect="1" noChangeArrowheads="1"/>
        </xdr:cNvSpPr>
      </xdr:nvSpPr>
      <xdr:spPr bwMode="auto">
        <a:xfrm>
          <a:off x="3463638" y="199756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453738</xdr:colOff>
      <xdr:row>9</xdr:row>
      <xdr:rowOff>2687781</xdr:rowOff>
    </xdr:from>
    <xdr:ext cx="304800" cy="314325"/>
    <xdr:sp macro="" textlink="">
      <xdr:nvSpPr>
        <xdr:cNvPr id="7" name="AutoShape 48" descr="Cambium E500 PL-E500EUCA-RW | Giá Rẻ, Chính Hãng, Nhiều Ưu Đãi">
          <a:extLst>
            <a:ext uri="{FF2B5EF4-FFF2-40B4-BE49-F238E27FC236}">
              <a16:creationId xmlns:a16="http://schemas.microsoft.com/office/drawing/2014/main" id="{00000000-0008-0000-0200-000007000000}"/>
            </a:ext>
          </a:extLst>
        </xdr:cNvPr>
        <xdr:cNvSpPr>
          <a:spLocks noChangeAspect="1" noChangeArrowheads="1"/>
        </xdr:cNvSpPr>
      </xdr:nvSpPr>
      <xdr:spPr bwMode="auto">
        <a:xfrm>
          <a:off x="3616038" y="201280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606138</xdr:colOff>
      <xdr:row>9</xdr:row>
      <xdr:rowOff>2840181</xdr:rowOff>
    </xdr:from>
    <xdr:ext cx="304800" cy="314325"/>
    <xdr:sp macro="" textlink="">
      <xdr:nvSpPr>
        <xdr:cNvPr id="8" name="AutoShape 2" descr="Káº¿t quáº£ hÃ¬nh áº£nh cho Speed dome camera">
          <a:extLst>
            <a:ext uri="{FF2B5EF4-FFF2-40B4-BE49-F238E27FC236}">
              <a16:creationId xmlns:a16="http://schemas.microsoft.com/office/drawing/2014/main" id="{00000000-0008-0000-0200-000008000000}"/>
            </a:ext>
          </a:extLst>
        </xdr:cNvPr>
        <xdr:cNvSpPr>
          <a:spLocks noChangeAspect="1" noChangeArrowheads="1"/>
        </xdr:cNvSpPr>
      </xdr:nvSpPr>
      <xdr:spPr bwMode="auto">
        <a:xfrm>
          <a:off x="3768438" y="202804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758538</xdr:colOff>
      <xdr:row>9</xdr:row>
      <xdr:rowOff>2992581</xdr:rowOff>
    </xdr:from>
    <xdr:ext cx="304800" cy="314325"/>
    <xdr:sp macro="" textlink="">
      <xdr:nvSpPr>
        <xdr:cNvPr id="9" name="AutoShape 2" descr="Káº¿t quáº£ hÃ¬nh áº£nh cho Speed dome camera">
          <a:extLst>
            <a:ext uri="{FF2B5EF4-FFF2-40B4-BE49-F238E27FC236}">
              <a16:creationId xmlns:a16="http://schemas.microsoft.com/office/drawing/2014/main" id="{00000000-0008-0000-0200-000009000000}"/>
            </a:ext>
          </a:extLst>
        </xdr:cNvPr>
        <xdr:cNvSpPr>
          <a:spLocks noChangeAspect="1" noChangeArrowheads="1"/>
        </xdr:cNvSpPr>
      </xdr:nvSpPr>
      <xdr:spPr bwMode="auto">
        <a:xfrm>
          <a:off x="3920838" y="204328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5534605</xdr:colOff>
      <xdr:row>0</xdr:row>
      <xdr:rowOff>51956</xdr:rowOff>
    </xdr:from>
    <xdr:to>
      <xdr:col>3</xdr:col>
      <xdr:colOff>554182</xdr:colOff>
      <xdr:row>0</xdr:row>
      <xdr:rowOff>952501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03832" y="51956"/>
          <a:ext cx="1028986" cy="900545"/>
        </a:xfrm>
        <a:prstGeom prst="rect">
          <a:avLst/>
        </a:prstGeom>
      </xdr:spPr>
    </xdr:pic>
    <xdr:clientData/>
  </xdr:twoCellAnchor>
  <xdr:oneCellAnchor>
    <xdr:from>
      <xdr:col>1</xdr:col>
      <xdr:colOff>3273138</xdr:colOff>
      <xdr:row>13</xdr:row>
      <xdr:rowOff>2078181</xdr:rowOff>
    </xdr:from>
    <xdr:ext cx="304800" cy="314325"/>
    <xdr:sp macro="" textlink="">
      <xdr:nvSpPr>
        <xdr:cNvPr id="3" name="AutoShape 2" descr="Káº¿t quáº£ hÃ¬nh áº£nh cho Speed dome camera">
          <a:extLst>
            <a:ext uri="{FF2B5EF4-FFF2-40B4-BE49-F238E27FC236}">
              <a16:creationId xmlns:a16="http://schemas.microsoft.com/office/drawing/2014/main" id="{00000000-0008-0000-0300-000003000000}"/>
            </a:ext>
          </a:extLst>
        </xdr:cNvPr>
        <xdr:cNvSpPr>
          <a:spLocks noChangeAspect="1" noChangeArrowheads="1"/>
        </xdr:cNvSpPr>
      </xdr:nvSpPr>
      <xdr:spPr bwMode="auto">
        <a:xfrm>
          <a:off x="4130388" y="238999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3425538</xdr:colOff>
      <xdr:row>13</xdr:row>
      <xdr:rowOff>2230581</xdr:rowOff>
    </xdr:from>
    <xdr:ext cx="304800" cy="314325"/>
    <xdr:sp macro="" textlink="">
      <xdr:nvSpPr>
        <xdr:cNvPr id="4" name="AutoShape 48" descr="Cambium E500 PL-E500EUCA-RW | Giá Rẻ, Chính Hãng, Nhiều Ưu Đãi">
          <a:extLst>
            <a:ext uri="{FF2B5EF4-FFF2-40B4-BE49-F238E27FC236}">
              <a16:creationId xmlns:a16="http://schemas.microsoft.com/office/drawing/2014/main" id="{00000000-0008-0000-0300-000004000000}"/>
            </a:ext>
          </a:extLst>
        </xdr:cNvPr>
        <xdr:cNvSpPr>
          <a:spLocks noChangeAspect="1" noChangeArrowheads="1"/>
        </xdr:cNvSpPr>
      </xdr:nvSpPr>
      <xdr:spPr bwMode="auto">
        <a:xfrm>
          <a:off x="4282788" y="240523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148938</xdr:colOff>
      <xdr:row>13</xdr:row>
      <xdr:rowOff>2382981</xdr:rowOff>
    </xdr:from>
    <xdr:ext cx="304800" cy="314325"/>
    <xdr:sp macro="" textlink="">
      <xdr:nvSpPr>
        <xdr:cNvPr id="5" name="AutoShape 48" descr="Cambium E500 PL-E500EUCA-RW | Giá Rẻ, Chính Hãng, Nhiều Ưu Đãi">
          <a:extLst>
            <a:ext uri="{FF2B5EF4-FFF2-40B4-BE49-F238E27FC236}">
              <a16:creationId xmlns:a16="http://schemas.microsoft.com/office/drawing/2014/main" id="{00000000-0008-0000-0300-000005000000}"/>
            </a:ext>
          </a:extLst>
        </xdr:cNvPr>
        <xdr:cNvSpPr>
          <a:spLocks noChangeAspect="1" noChangeArrowheads="1"/>
        </xdr:cNvSpPr>
      </xdr:nvSpPr>
      <xdr:spPr bwMode="auto">
        <a:xfrm>
          <a:off x="4435188" y="242047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301338</xdr:colOff>
      <xdr:row>13</xdr:row>
      <xdr:rowOff>2535381</xdr:rowOff>
    </xdr:from>
    <xdr:ext cx="304800" cy="314325"/>
    <xdr:sp macro="" textlink="">
      <xdr:nvSpPr>
        <xdr:cNvPr id="6" name="AutoShape 2" descr="Káº¿t quáº£ hÃ¬nh áº£nh cho Speed dome camera">
          <a:extLst>
            <a:ext uri="{FF2B5EF4-FFF2-40B4-BE49-F238E27FC236}">
              <a16:creationId xmlns:a16="http://schemas.microsoft.com/office/drawing/2014/main" id="{00000000-0008-0000-0300-000006000000}"/>
            </a:ext>
          </a:extLst>
        </xdr:cNvPr>
        <xdr:cNvSpPr>
          <a:spLocks noChangeAspect="1" noChangeArrowheads="1"/>
        </xdr:cNvSpPr>
      </xdr:nvSpPr>
      <xdr:spPr bwMode="auto">
        <a:xfrm>
          <a:off x="4587588" y="243571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453738</xdr:colOff>
      <xdr:row>13</xdr:row>
      <xdr:rowOff>2687781</xdr:rowOff>
    </xdr:from>
    <xdr:ext cx="304800" cy="314325"/>
    <xdr:sp macro="" textlink="">
      <xdr:nvSpPr>
        <xdr:cNvPr id="7" name="AutoShape 48" descr="Cambium E500 PL-E500EUCA-RW | Giá Rẻ, Chính Hãng, Nhiều Ưu Đãi">
          <a:extLst>
            <a:ext uri="{FF2B5EF4-FFF2-40B4-BE49-F238E27FC236}">
              <a16:creationId xmlns:a16="http://schemas.microsoft.com/office/drawing/2014/main" id="{00000000-0008-0000-0300-000007000000}"/>
            </a:ext>
          </a:extLst>
        </xdr:cNvPr>
        <xdr:cNvSpPr>
          <a:spLocks noChangeAspect="1" noChangeArrowheads="1"/>
        </xdr:cNvSpPr>
      </xdr:nvSpPr>
      <xdr:spPr bwMode="auto">
        <a:xfrm>
          <a:off x="4739988" y="245095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606138</xdr:colOff>
      <xdr:row>13</xdr:row>
      <xdr:rowOff>2840181</xdr:rowOff>
    </xdr:from>
    <xdr:ext cx="304800" cy="314325"/>
    <xdr:sp macro="" textlink="">
      <xdr:nvSpPr>
        <xdr:cNvPr id="8" name="AutoShape 2" descr="Káº¿t quáº£ hÃ¬nh áº£nh cho Speed dome camera">
          <a:extLst>
            <a:ext uri="{FF2B5EF4-FFF2-40B4-BE49-F238E27FC236}">
              <a16:creationId xmlns:a16="http://schemas.microsoft.com/office/drawing/2014/main" id="{00000000-0008-0000-0300-000008000000}"/>
            </a:ext>
          </a:extLst>
        </xdr:cNvPr>
        <xdr:cNvSpPr>
          <a:spLocks noChangeAspect="1" noChangeArrowheads="1"/>
        </xdr:cNvSpPr>
      </xdr:nvSpPr>
      <xdr:spPr bwMode="auto">
        <a:xfrm>
          <a:off x="4892388" y="246619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758538</xdr:colOff>
      <xdr:row>13</xdr:row>
      <xdr:rowOff>2992581</xdr:rowOff>
    </xdr:from>
    <xdr:ext cx="304800" cy="314325"/>
    <xdr:sp macro="" textlink="">
      <xdr:nvSpPr>
        <xdr:cNvPr id="9" name="AutoShape 2" descr="Káº¿t quáº£ hÃ¬nh áº£nh cho Speed dome camera">
          <a:extLst>
            <a:ext uri="{FF2B5EF4-FFF2-40B4-BE49-F238E27FC236}">
              <a16:creationId xmlns:a16="http://schemas.microsoft.com/office/drawing/2014/main" id="{00000000-0008-0000-0300-000009000000}"/>
            </a:ext>
          </a:extLst>
        </xdr:cNvPr>
        <xdr:cNvSpPr>
          <a:spLocks noChangeAspect="1" noChangeArrowheads="1"/>
        </xdr:cNvSpPr>
      </xdr:nvSpPr>
      <xdr:spPr bwMode="auto">
        <a:xfrm>
          <a:off x="5044788" y="248143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5084331</xdr:colOff>
      <xdr:row>0</xdr:row>
      <xdr:rowOff>1</xdr:rowOff>
    </xdr:from>
    <xdr:to>
      <xdr:col>2</xdr:col>
      <xdr:colOff>5970607</xdr:colOff>
      <xdr:row>1</xdr:row>
      <xdr:rowOff>114301</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46631" y="1"/>
          <a:ext cx="886276" cy="590550"/>
        </a:xfrm>
        <a:prstGeom prst="rect">
          <a:avLst/>
        </a:prstGeom>
      </xdr:spPr>
    </xdr:pic>
    <xdr:clientData/>
  </xdr:twoCellAnchor>
  <xdr:oneCellAnchor>
    <xdr:from>
      <xdr:col>1</xdr:col>
      <xdr:colOff>3273138</xdr:colOff>
      <xdr:row>13</xdr:row>
      <xdr:rowOff>2078181</xdr:rowOff>
    </xdr:from>
    <xdr:ext cx="304800" cy="314325"/>
    <xdr:sp macro="" textlink="">
      <xdr:nvSpPr>
        <xdr:cNvPr id="3" name="AutoShape 2" descr="Káº¿t quáº£ hÃ¬nh áº£nh cho Speed dome camera">
          <a:extLst>
            <a:ext uri="{FF2B5EF4-FFF2-40B4-BE49-F238E27FC236}">
              <a16:creationId xmlns:a16="http://schemas.microsoft.com/office/drawing/2014/main" id="{00000000-0008-0000-0500-000003000000}"/>
            </a:ext>
          </a:extLst>
        </xdr:cNvPr>
        <xdr:cNvSpPr>
          <a:spLocks noChangeAspect="1" noChangeArrowheads="1"/>
        </xdr:cNvSpPr>
      </xdr:nvSpPr>
      <xdr:spPr bwMode="auto">
        <a:xfrm>
          <a:off x="3158838" y="190993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3425538</xdr:colOff>
      <xdr:row>13</xdr:row>
      <xdr:rowOff>2230581</xdr:rowOff>
    </xdr:from>
    <xdr:ext cx="304800" cy="314325"/>
    <xdr:sp macro="" textlink="">
      <xdr:nvSpPr>
        <xdr:cNvPr id="4" name="AutoShape 48" descr="Cambium E500 PL-E500EUCA-RW | Giá Rẻ, Chính Hãng, Nhiều Ưu Đãi">
          <a:extLst>
            <a:ext uri="{FF2B5EF4-FFF2-40B4-BE49-F238E27FC236}">
              <a16:creationId xmlns:a16="http://schemas.microsoft.com/office/drawing/2014/main" id="{00000000-0008-0000-0500-000004000000}"/>
            </a:ext>
          </a:extLst>
        </xdr:cNvPr>
        <xdr:cNvSpPr>
          <a:spLocks noChangeAspect="1" noChangeArrowheads="1"/>
        </xdr:cNvSpPr>
      </xdr:nvSpPr>
      <xdr:spPr bwMode="auto">
        <a:xfrm>
          <a:off x="3158838" y="192517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148938</xdr:colOff>
      <xdr:row>13</xdr:row>
      <xdr:rowOff>2382981</xdr:rowOff>
    </xdr:from>
    <xdr:ext cx="304800" cy="314325"/>
    <xdr:sp macro="" textlink="">
      <xdr:nvSpPr>
        <xdr:cNvPr id="5" name="AutoShape 48" descr="Cambium E500 PL-E500EUCA-RW | Giá Rẻ, Chính Hãng, Nhiều Ưu Đãi">
          <a:extLst>
            <a:ext uri="{FF2B5EF4-FFF2-40B4-BE49-F238E27FC236}">
              <a16:creationId xmlns:a16="http://schemas.microsoft.com/office/drawing/2014/main" id="{00000000-0008-0000-0500-000005000000}"/>
            </a:ext>
          </a:extLst>
        </xdr:cNvPr>
        <xdr:cNvSpPr>
          <a:spLocks noChangeAspect="1" noChangeArrowheads="1"/>
        </xdr:cNvSpPr>
      </xdr:nvSpPr>
      <xdr:spPr bwMode="auto">
        <a:xfrm>
          <a:off x="3311238" y="194041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301338</xdr:colOff>
      <xdr:row>13</xdr:row>
      <xdr:rowOff>2535381</xdr:rowOff>
    </xdr:from>
    <xdr:ext cx="304800" cy="314325"/>
    <xdr:sp macro="" textlink="">
      <xdr:nvSpPr>
        <xdr:cNvPr id="6" name="AutoShape 2" descr="Káº¿t quáº£ hÃ¬nh áº£nh cho Speed dome camera">
          <a:extLst>
            <a:ext uri="{FF2B5EF4-FFF2-40B4-BE49-F238E27FC236}">
              <a16:creationId xmlns:a16="http://schemas.microsoft.com/office/drawing/2014/main" id="{00000000-0008-0000-0500-000006000000}"/>
            </a:ext>
          </a:extLst>
        </xdr:cNvPr>
        <xdr:cNvSpPr>
          <a:spLocks noChangeAspect="1" noChangeArrowheads="1"/>
        </xdr:cNvSpPr>
      </xdr:nvSpPr>
      <xdr:spPr bwMode="auto">
        <a:xfrm>
          <a:off x="3463638" y="195565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453738</xdr:colOff>
      <xdr:row>13</xdr:row>
      <xdr:rowOff>2687781</xdr:rowOff>
    </xdr:from>
    <xdr:ext cx="304800" cy="314325"/>
    <xdr:sp macro="" textlink="">
      <xdr:nvSpPr>
        <xdr:cNvPr id="7" name="AutoShape 48" descr="Cambium E500 PL-E500EUCA-RW | Giá Rẻ, Chính Hãng, Nhiều Ưu Đãi">
          <a:extLst>
            <a:ext uri="{FF2B5EF4-FFF2-40B4-BE49-F238E27FC236}">
              <a16:creationId xmlns:a16="http://schemas.microsoft.com/office/drawing/2014/main" id="{00000000-0008-0000-0500-000007000000}"/>
            </a:ext>
          </a:extLst>
        </xdr:cNvPr>
        <xdr:cNvSpPr>
          <a:spLocks noChangeAspect="1" noChangeArrowheads="1"/>
        </xdr:cNvSpPr>
      </xdr:nvSpPr>
      <xdr:spPr bwMode="auto">
        <a:xfrm>
          <a:off x="3616038" y="197089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606138</xdr:colOff>
      <xdr:row>13</xdr:row>
      <xdr:rowOff>2840181</xdr:rowOff>
    </xdr:from>
    <xdr:ext cx="304800" cy="314325"/>
    <xdr:sp macro="" textlink="">
      <xdr:nvSpPr>
        <xdr:cNvPr id="8" name="AutoShape 2" descr="Káº¿t quáº£ hÃ¬nh áº£nh cho Speed dome camera">
          <a:extLst>
            <a:ext uri="{FF2B5EF4-FFF2-40B4-BE49-F238E27FC236}">
              <a16:creationId xmlns:a16="http://schemas.microsoft.com/office/drawing/2014/main" id="{00000000-0008-0000-0500-000008000000}"/>
            </a:ext>
          </a:extLst>
        </xdr:cNvPr>
        <xdr:cNvSpPr>
          <a:spLocks noChangeAspect="1" noChangeArrowheads="1"/>
        </xdr:cNvSpPr>
      </xdr:nvSpPr>
      <xdr:spPr bwMode="auto">
        <a:xfrm>
          <a:off x="3768438" y="198613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758538</xdr:colOff>
      <xdr:row>13</xdr:row>
      <xdr:rowOff>2992581</xdr:rowOff>
    </xdr:from>
    <xdr:ext cx="304800" cy="314325"/>
    <xdr:sp macro="" textlink="">
      <xdr:nvSpPr>
        <xdr:cNvPr id="9" name="AutoShape 2" descr="Káº¿t quáº£ hÃ¬nh áº£nh cho Speed dome camera">
          <a:extLst>
            <a:ext uri="{FF2B5EF4-FFF2-40B4-BE49-F238E27FC236}">
              <a16:creationId xmlns:a16="http://schemas.microsoft.com/office/drawing/2014/main" id="{00000000-0008-0000-0500-000009000000}"/>
            </a:ext>
          </a:extLst>
        </xdr:cNvPr>
        <xdr:cNvSpPr>
          <a:spLocks noChangeAspect="1" noChangeArrowheads="1"/>
        </xdr:cNvSpPr>
      </xdr:nvSpPr>
      <xdr:spPr bwMode="auto">
        <a:xfrm>
          <a:off x="3920838" y="200137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3273138</xdr:colOff>
      <xdr:row>12</xdr:row>
      <xdr:rowOff>2078181</xdr:rowOff>
    </xdr:from>
    <xdr:ext cx="304800" cy="314325"/>
    <xdr:sp macro="" textlink="">
      <xdr:nvSpPr>
        <xdr:cNvPr id="3" name="AutoShape 2" descr="Káº¿t quáº£ hÃ¬nh áº£nh cho Speed dome camera">
          <a:extLst>
            <a:ext uri="{FF2B5EF4-FFF2-40B4-BE49-F238E27FC236}">
              <a16:creationId xmlns:a16="http://schemas.microsoft.com/office/drawing/2014/main" id="{00000000-0008-0000-0600-000003000000}"/>
            </a:ext>
          </a:extLst>
        </xdr:cNvPr>
        <xdr:cNvSpPr>
          <a:spLocks noChangeAspect="1" noChangeArrowheads="1"/>
        </xdr:cNvSpPr>
      </xdr:nvSpPr>
      <xdr:spPr bwMode="auto">
        <a:xfrm>
          <a:off x="3158838" y="190993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3425538</xdr:colOff>
      <xdr:row>12</xdr:row>
      <xdr:rowOff>2230581</xdr:rowOff>
    </xdr:from>
    <xdr:ext cx="304800" cy="314325"/>
    <xdr:sp macro="" textlink="">
      <xdr:nvSpPr>
        <xdr:cNvPr id="4" name="AutoShape 48" descr="Cambium E500 PL-E500EUCA-RW | Giá Rẻ, Chính Hãng, Nhiều Ưu Đãi">
          <a:extLst>
            <a:ext uri="{FF2B5EF4-FFF2-40B4-BE49-F238E27FC236}">
              <a16:creationId xmlns:a16="http://schemas.microsoft.com/office/drawing/2014/main" id="{00000000-0008-0000-0600-000004000000}"/>
            </a:ext>
          </a:extLst>
        </xdr:cNvPr>
        <xdr:cNvSpPr>
          <a:spLocks noChangeAspect="1" noChangeArrowheads="1"/>
        </xdr:cNvSpPr>
      </xdr:nvSpPr>
      <xdr:spPr bwMode="auto">
        <a:xfrm>
          <a:off x="3158838" y="192517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148938</xdr:colOff>
      <xdr:row>12</xdr:row>
      <xdr:rowOff>2382981</xdr:rowOff>
    </xdr:from>
    <xdr:ext cx="304800" cy="314325"/>
    <xdr:sp macro="" textlink="">
      <xdr:nvSpPr>
        <xdr:cNvPr id="5" name="AutoShape 48" descr="Cambium E500 PL-E500EUCA-RW | Giá Rẻ, Chính Hãng, Nhiều Ưu Đãi">
          <a:extLst>
            <a:ext uri="{FF2B5EF4-FFF2-40B4-BE49-F238E27FC236}">
              <a16:creationId xmlns:a16="http://schemas.microsoft.com/office/drawing/2014/main" id="{00000000-0008-0000-0600-000005000000}"/>
            </a:ext>
          </a:extLst>
        </xdr:cNvPr>
        <xdr:cNvSpPr>
          <a:spLocks noChangeAspect="1" noChangeArrowheads="1"/>
        </xdr:cNvSpPr>
      </xdr:nvSpPr>
      <xdr:spPr bwMode="auto">
        <a:xfrm>
          <a:off x="3311238" y="194041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301338</xdr:colOff>
      <xdr:row>12</xdr:row>
      <xdr:rowOff>2535381</xdr:rowOff>
    </xdr:from>
    <xdr:ext cx="304800" cy="314325"/>
    <xdr:sp macro="" textlink="">
      <xdr:nvSpPr>
        <xdr:cNvPr id="6" name="AutoShape 2" descr="Káº¿t quáº£ hÃ¬nh áº£nh cho Speed dome camera">
          <a:extLst>
            <a:ext uri="{FF2B5EF4-FFF2-40B4-BE49-F238E27FC236}">
              <a16:creationId xmlns:a16="http://schemas.microsoft.com/office/drawing/2014/main" id="{00000000-0008-0000-0600-000006000000}"/>
            </a:ext>
          </a:extLst>
        </xdr:cNvPr>
        <xdr:cNvSpPr>
          <a:spLocks noChangeAspect="1" noChangeArrowheads="1"/>
        </xdr:cNvSpPr>
      </xdr:nvSpPr>
      <xdr:spPr bwMode="auto">
        <a:xfrm>
          <a:off x="3463638" y="195565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453738</xdr:colOff>
      <xdr:row>12</xdr:row>
      <xdr:rowOff>2687781</xdr:rowOff>
    </xdr:from>
    <xdr:ext cx="304800" cy="314325"/>
    <xdr:sp macro="" textlink="">
      <xdr:nvSpPr>
        <xdr:cNvPr id="7" name="AutoShape 48" descr="Cambium E500 PL-E500EUCA-RW | Giá Rẻ, Chính Hãng, Nhiều Ưu Đãi">
          <a:extLst>
            <a:ext uri="{FF2B5EF4-FFF2-40B4-BE49-F238E27FC236}">
              <a16:creationId xmlns:a16="http://schemas.microsoft.com/office/drawing/2014/main" id="{00000000-0008-0000-0600-000007000000}"/>
            </a:ext>
          </a:extLst>
        </xdr:cNvPr>
        <xdr:cNvSpPr>
          <a:spLocks noChangeAspect="1" noChangeArrowheads="1"/>
        </xdr:cNvSpPr>
      </xdr:nvSpPr>
      <xdr:spPr bwMode="auto">
        <a:xfrm>
          <a:off x="3616038" y="197089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606138</xdr:colOff>
      <xdr:row>12</xdr:row>
      <xdr:rowOff>2840181</xdr:rowOff>
    </xdr:from>
    <xdr:ext cx="304800" cy="314325"/>
    <xdr:sp macro="" textlink="">
      <xdr:nvSpPr>
        <xdr:cNvPr id="8" name="AutoShape 2" descr="Káº¿t quáº£ hÃ¬nh áº£nh cho Speed dome camera">
          <a:extLst>
            <a:ext uri="{FF2B5EF4-FFF2-40B4-BE49-F238E27FC236}">
              <a16:creationId xmlns:a16="http://schemas.microsoft.com/office/drawing/2014/main" id="{00000000-0008-0000-0600-000008000000}"/>
            </a:ext>
          </a:extLst>
        </xdr:cNvPr>
        <xdr:cNvSpPr>
          <a:spLocks noChangeAspect="1" noChangeArrowheads="1"/>
        </xdr:cNvSpPr>
      </xdr:nvSpPr>
      <xdr:spPr bwMode="auto">
        <a:xfrm>
          <a:off x="3768438" y="198613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758538</xdr:colOff>
      <xdr:row>12</xdr:row>
      <xdr:rowOff>2992581</xdr:rowOff>
    </xdr:from>
    <xdr:ext cx="304800" cy="314325"/>
    <xdr:sp macro="" textlink="">
      <xdr:nvSpPr>
        <xdr:cNvPr id="9" name="AutoShape 2" descr="Káº¿t quáº£ hÃ¬nh áº£nh cho Speed dome camera">
          <a:extLst>
            <a:ext uri="{FF2B5EF4-FFF2-40B4-BE49-F238E27FC236}">
              <a16:creationId xmlns:a16="http://schemas.microsoft.com/office/drawing/2014/main" id="{00000000-0008-0000-0600-000009000000}"/>
            </a:ext>
          </a:extLst>
        </xdr:cNvPr>
        <xdr:cNvSpPr>
          <a:spLocks noChangeAspect="1" noChangeArrowheads="1"/>
        </xdr:cNvSpPr>
      </xdr:nvSpPr>
      <xdr:spPr bwMode="auto">
        <a:xfrm>
          <a:off x="3920838" y="20013756"/>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22412</xdr:colOff>
      <xdr:row>0</xdr:row>
      <xdr:rowOff>0</xdr:rowOff>
    </xdr:from>
    <xdr:to>
      <xdr:col>4</xdr:col>
      <xdr:colOff>239592</xdr:colOff>
      <xdr:row>0</xdr:row>
      <xdr:rowOff>1099295</xdr:rowOff>
    </xdr:to>
    <xdr:pic>
      <xdr:nvPicPr>
        <xdr:cNvPr id="10" name="Picture 4">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12" y="0"/>
          <a:ext cx="4890033" cy="1099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3273138</xdr:colOff>
      <xdr:row>12</xdr:row>
      <xdr:rowOff>2078181</xdr:rowOff>
    </xdr:from>
    <xdr:ext cx="304800" cy="314325"/>
    <xdr:sp macro="" textlink="">
      <xdr:nvSpPr>
        <xdr:cNvPr id="11" name="AutoShape 2" descr="Káº¿t quáº£ hÃ¬nh áº£nh cho Speed dome camera">
          <a:extLst>
            <a:ext uri="{FF2B5EF4-FFF2-40B4-BE49-F238E27FC236}">
              <a16:creationId xmlns:a16="http://schemas.microsoft.com/office/drawing/2014/main" id="{00000000-0008-0000-0600-00000B000000}"/>
            </a:ext>
          </a:extLst>
        </xdr:cNvPr>
        <xdr:cNvSpPr>
          <a:spLocks noChangeAspect="1" noChangeArrowheads="1"/>
        </xdr:cNvSpPr>
      </xdr:nvSpPr>
      <xdr:spPr bwMode="auto">
        <a:xfrm>
          <a:off x="3158838" y="18052967"/>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3425538</xdr:colOff>
      <xdr:row>12</xdr:row>
      <xdr:rowOff>2230581</xdr:rowOff>
    </xdr:from>
    <xdr:ext cx="304800" cy="314325"/>
    <xdr:sp macro="" textlink="">
      <xdr:nvSpPr>
        <xdr:cNvPr id="12" name="AutoShape 48" descr="Cambium E500 PL-E500EUCA-RW | Giá Rẻ, Chính Hãng, Nhiều Ưu Đãi">
          <a:extLst>
            <a:ext uri="{FF2B5EF4-FFF2-40B4-BE49-F238E27FC236}">
              <a16:creationId xmlns:a16="http://schemas.microsoft.com/office/drawing/2014/main" id="{00000000-0008-0000-0600-00000C000000}"/>
            </a:ext>
          </a:extLst>
        </xdr:cNvPr>
        <xdr:cNvSpPr>
          <a:spLocks noChangeAspect="1" noChangeArrowheads="1"/>
        </xdr:cNvSpPr>
      </xdr:nvSpPr>
      <xdr:spPr bwMode="auto">
        <a:xfrm>
          <a:off x="3158838" y="18205367"/>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148938</xdr:colOff>
      <xdr:row>12</xdr:row>
      <xdr:rowOff>2382981</xdr:rowOff>
    </xdr:from>
    <xdr:ext cx="304800" cy="314325"/>
    <xdr:sp macro="" textlink="">
      <xdr:nvSpPr>
        <xdr:cNvPr id="13" name="AutoShape 48" descr="Cambium E500 PL-E500EUCA-RW | Giá Rẻ, Chính Hãng, Nhiều Ưu Đãi">
          <a:extLst>
            <a:ext uri="{FF2B5EF4-FFF2-40B4-BE49-F238E27FC236}">
              <a16:creationId xmlns:a16="http://schemas.microsoft.com/office/drawing/2014/main" id="{00000000-0008-0000-0600-00000D000000}"/>
            </a:ext>
          </a:extLst>
        </xdr:cNvPr>
        <xdr:cNvSpPr>
          <a:spLocks noChangeAspect="1" noChangeArrowheads="1"/>
        </xdr:cNvSpPr>
      </xdr:nvSpPr>
      <xdr:spPr bwMode="auto">
        <a:xfrm>
          <a:off x="3305795" y="18357767"/>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301338</xdr:colOff>
      <xdr:row>12</xdr:row>
      <xdr:rowOff>2535381</xdr:rowOff>
    </xdr:from>
    <xdr:ext cx="304800" cy="314325"/>
    <xdr:sp macro="" textlink="">
      <xdr:nvSpPr>
        <xdr:cNvPr id="14" name="AutoShape 2" descr="Káº¿t quáº£ hÃ¬nh áº£nh cho Speed dome camera">
          <a:extLst>
            <a:ext uri="{FF2B5EF4-FFF2-40B4-BE49-F238E27FC236}">
              <a16:creationId xmlns:a16="http://schemas.microsoft.com/office/drawing/2014/main" id="{00000000-0008-0000-0600-00000E000000}"/>
            </a:ext>
          </a:extLst>
        </xdr:cNvPr>
        <xdr:cNvSpPr>
          <a:spLocks noChangeAspect="1" noChangeArrowheads="1"/>
        </xdr:cNvSpPr>
      </xdr:nvSpPr>
      <xdr:spPr bwMode="auto">
        <a:xfrm>
          <a:off x="3458195" y="18510167"/>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453738</xdr:colOff>
      <xdr:row>12</xdr:row>
      <xdr:rowOff>2687781</xdr:rowOff>
    </xdr:from>
    <xdr:ext cx="304800" cy="314325"/>
    <xdr:sp macro="" textlink="">
      <xdr:nvSpPr>
        <xdr:cNvPr id="15" name="AutoShape 48" descr="Cambium E500 PL-E500EUCA-RW | Giá Rẻ, Chính Hãng, Nhiều Ưu Đãi">
          <a:extLst>
            <a:ext uri="{FF2B5EF4-FFF2-40B4-BE49-F238E27FC236}">
              <a16:creationId xmlns:a16="http://schemas.microsoft.com/office/drawing/2014/main" id="{00000000-0008-0000-0600-00000F000000}"/>
            </a:ext>
          </a:extLst>
        </xdr:cNvPr>
        <xdr:cNvSpPr>
          <a:spLocks noChangeAspect="1" noChangeArrowheads="1"/>
        </xdr:cNvSpPr>
      </xdr:nvSpPr>
      <xdr:spPr bwMode="auto">
        <a:xfrm>
          <a:off x="3610595" y="18662567"/>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606138</xdr:colOff>
      <xdr:row>12</xdr:row>
      <xdr:rowOff>2840181</xdr:rowOff>
    </xdr:from>
    <xdr:ext cx="304800" cy="314325"/>
    <xdr:sp macro="" textlink="">
      <xdr:nvSpPr>
        <xdr:cNvPr id="16" name="AutoShape 2" descr="Káº¿t quáº£ hÃ¬nh áº£nh cho Speed dome camera">
          <a:extLst>
            <a:ext uri="{FF2B5EF4-FFF2-40B4-BE49-F238E27FC236}">
              <a16:creationId xmlns:a16="http://schemas.microsoft.com/office/drawing/2014/main" id="{00000000-0008-0000-0600-000010000000}"/>
            </a:ext>
          </a:extLst>
        </xdr:cNvPr>
        <xdr:cNvSpPr>
          <a:spLocks noChangeAspect="1" noChangeArrowheads="1"/>
        </xdr:cNvSpPr>
      </xdr:nvSpPr>
      <xdr:spPr bwMode="auto">
        <a:xfrm>
          <a:off x="3762995" y="18814967"/>
          <a:ext cx="304800" cy="3143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i_kh\huong_xl1\Congviec\T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9.204\tsi_data\My%20Drive\TSI\Du%20An\Nova%20Cam%20Ranh\BOQ\T&#243;m%20T&#7855;t%20Chung\thom\CT-BB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99.204\tsi_data\SanDiskSecureAccess\USB\USB\7.6.2021\KHDT\BG%20DU%20AN\WIFI%20HO%20TRAM\30062021\CAC%20FILE%20DANG%20DUNG\thom\CT-BB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99.204\tsi_data\SanDiskSecureAccess\USB\USB\7.6.2021\KHDT\BG%20DU%20AN\WIFI%20HO%20TRAM\30062021\CAC%20FILE%20DANG%20DUNG\My%20Documents\Di%20doi%20Dd%2015%20KV%20-%20NR.Ho%20Mac%20-%20Cty%20det%20Long%20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99.204\tsi_data\SanDiskSecureAccess\USB\USB\7.6.2021\KHDT\BG%20DU%20AN\WIFI%20HO%20TRAM\30062021\CAC%20FILE%20DANG%20DUNG\thom\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uong_kh\dung_chung\My%20Documents\TAMKY\tantt\tantt\tantt\BSQ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ong_kh\dung_chung\My%20Documents\tantt\tantt\tantt\BSQ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99.204\tsi_data\SanDiskSecureAccess\USB\USB\7.6.2021\KHDT\BG%20DU%20AN\WIFI%20HO%20TRAM\30062021\CAC%20FILE%20DANG%20DUNG\WINDOWS\Temporary%20Internet%20Files\OLK8342\KH%202004%20cac%20don%20vi%20phia%20Bac12312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mis00\Quoc\KIET%20-%20QLKT\DU%20TOAN\CHIET%20TINH\Duong%20Day%20&amp;%20Tram\Cam\Thep%20Nguyen%20Minh\HIEN\TANHUNG\HTTANHU.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92.168.99.204\tsi_data\SanDiskSecureAccess\USB\USB\7.6.2021\KHDT\BG%20DU%20AN\WIFI%20HO%20TRAM\30062021\CAC%20FILE%20DANG%20DUNG\thom\M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resario\c\My%20Documents\HSMAU\KHUTE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ong_kh\dung_chung\My%20Documents\CTNTTH.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99.204\tsi_data\SanDiskSecureAccess\USB\USB\7.6.2021\KHDT\BG%20DU%20AN\WIFI%20HO%20TRAM\30062021\CAC%20FILE%20DANG%20DUNG\KH%202003\AFD\B-CAOQ~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cungung02/Downloads/Doiso.xla"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cungung02/Documents/Zalo%20Received%20Files/2024.05.20_.BG-TSI_hethong127cam_SRR.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92.168.99.204\tsi_data\DATA\Nhanvien\CUNGUNG02\Canhan\CUNGUNG02_MRMY\2024\1.%20B&#193;O%20GI&#193;%20D&#7920;%20&#193;N\4.%20GMS\2024.05.14_50.BG-TSI_hethong61camera_G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HTD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
      <sheetName val="VC"/>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
      <sheetName val="VC"/>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
      <sheetName val="VT-NC"/>
      <sheetName val="Tong Hop"/>
      <sheetName val="mau"/>
      <sheetName val="HOP DONG"/>
      <sheetName val="Sheet8"/>
      <sheetName val="Sheet9"/>
      <sheetName val="Sheet10"/>
      <sheetName val="Sheet11"/>
      <sheetName val="Sheet12"/>
      <sheetName val="Sheet13"/>
      <sheetName val="Sheet14"/>
      <sheetName val="Sheet15"/>
      <sheetName val="Sheet16"/>
      <sheetName val="00000000"/>
      <sheetName val="1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GIA"/>
      <sheetName val="CHITIET"/>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dg"/>
      <sheetName val="DU TOAN"/>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dg"/>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 A MB"/>
      <sheetName val="110KV"/>
      <sheetName val="Von-Dau tu "/>
      <sheetName val="CBKC-220"/>
      <sheetName val="TD 1"/>
      <sheetName val="TD Son La"/>
      <sheetName val="ND 1"/>
      <sheetName val="DLHN"/>
      <sheetName val="Sheet6"/>
      <sheetName val="DLHP"/>
      <sheetName val="VTDL"/>
      <sheetName val="TTDH"/>
      <sheetName val="CTDL 1"/>
      <sheetName val="TTD 1"/>
      <sheetName val="Sheet3"/>
      <sheetName val="NMTDHB"/>
      <sheetName val="Ban A HB"/>
      <sheetName val="NMNDPL"/>
      <sheetName val="NMDUBi"/>
      <sheetName val="NMDNBinh"/>
      <sheetName val="Sheet5"/>
      <sheetName val="Ao"/>
      <sheetName val="Sheet4"/>
      <sheetName val="Truong DTND"/>
      <sheetName val="Truong CDDL"/>
      <sheetName val="Truong THD3"/>
      <sheetName val="truong THD2"/>
      <sheetName val="Sheet2"/>
      <sheetName val="DL Ninh Binh"/>
      <sheetName val="Sheet1"/>
      <sheetName val="CBKC-110"/>
      <sheetName val="XXXXXXXX"/>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KE-HT"/>
      <sheetName val="LKVL-CK-HT-GD1"/>
    </sheetNames>
    <sheetDataSet>
      <sheetData sheetId="0"/>
      <sheetData sheetId="1">
        <row r="4">
          <cell r="A4" t="str">
            <v>( GIAI ÑOAÏN 1 )</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ung ten TD"/>
      <sheetName val="khung ten LM7"/>
      <sheetName val="khung ten HC Q3"/>
      <sheetName val="khung ten HC HOAI NHON"/>
      <sheetName val="khung ten HC Hoa Khanh"/>
      <sheetName val="Khung ten TK"/>
      <sheetName val="thong ke"/>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nluong"/>
      <sheetName val="CTdongia"/>
    </sheetNames>
    <sheetDataSet>
      <sheetData sheetId="0"/>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Q1,Q2,01"/>
      <sheetName val="BCCTQT-XLD4"/>
      <sheetName val="BCQT-TTD1"/>
      <sheetName val="CT-chuacoDT"/>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oiso"/>
    </sheetNames>
    <definedNames>
      <definedName name="vnd"/>
    </definedNames>
    <sheetDataSet>
      <sheetData sheetId="0"/>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TLL (2)"/>
      <sheetName val="tóm tắt bao giá "/>
      <sheetName val="BOq"/>
      <sheetName val="nhân công"/>
    </sheetNames>
    <sheetDataSet>
      <sheetData sheetId="0"/>
      <sheetData sheetId="1"/>
      <sheetData sheetId="2"/>
      <sheetData sheetId="3">
        <row r="26">
          <cell r="B26" t="str">
            <v>Khung kệ tivi</v>
          </cell>
        </row>
        <row r="27">
          <cell r="B27" t="str">
            <v>Cáp HDMI 15m Unitek</v>
          </cell>
        </row>
      </sheetData>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k báo giá lớn (2)"/>
      <sheetName val="ptll 61 cam"/>
      <sheetName val="Sheet1"/>
      <sheetName val="vật tư phụ"/>
      <sheetName val="vtc"/>
    </sheetNames>
    <sheetDataSet>
      <sheetData sheetId="0"/>
      <sheetData sheetId="1">
        <row r="6">
          <cell r="B6" t="str">
            <v>Camera IP Dome 2MP HIKVISION DS-2CD2121G0-I</v>
          </cell>
          <cell r="C6" t="str">
            <v>Hikvison</v>
          </cell>
          <cell r="D6" t="str">
            <v>China</v>
          </cell>
          <cell r="E6" t="str">
            <v xml:space="preserve">Cái </v>
          </cell>
          <cell r="F6">
            <v>3</v>
          </cell>
          <cell r="G6">
            <v>1136363.6363636362</v>
          </cell>
          <cell r="H6">
            <v>3409090.9090909087</v>
          </cell>
          <cell r="J6">
            <v>0.20120000000000005</v>
          </cell>
          <cell r="K6">
            <v>1365000</v>
          </cell>
        </row>
        <row r="7">
          <cell r="B7" t="str">
            <v>Camera IP thân 2MP HIKVISION DS-2CD2021G1-I</v>
          </cell>
          <cell r="C7" t="str">
            <v>Hikvison</v>
          </cell>
          <cell r="D7" t="str">
            <v>China</v>
          </cell>
          <cell r="E7" t="str">
            <v>Cái</v>
          </cell>
          <cell r="F7">
            <v>58</v>
          </cell>
          <cell r="G7">
            <v>1136363.6363636362</v>
          </cell>
          <cell r="H7">
            <v>65909090.909090899</v>
          </cell>
          <cell r="J7">
            <v>0.22522400000000009</v>
          </cell>
          <cell r="K7">
            <v>1393000</v>
          </cell>
        </row>
        <row r="8">
          <cell r="B8" t="str">
            <v>Ổ Cứng 10T WESTERN</v>
          </cell>
          <cell r="E8" t="str">
            <v>Cái</v>
          </cell>
          <cell r="F8">
            <v>2</v>
          </cell>
          <cell r="G8">
            <v>6227272.7272727266</v>
          </cell>
          <cell r="H8">
            <v>12454545.454545453</v>
          </cell>
          <cell r="J8">
            <v>0.16300000000000001</v>
          </cell>
          <cell r="K8">
            <v>7243000</v>
          </cell>
        </row>
        <row r="9">
          <cell r="B9" t="str">
            <v>Đầu ghi hình Hikivision 32 kênh DS 7732NXI-K4</v>
          </cell>
          <cell r="C9" t="str">
            <v>Cisco</v>
          </cell>
          <cell r="D9" t="str">
            <v>China</v>
          </cell>
          <cell r="E9" t="str">
            <v>Cái</v>
          </cell>
          <cell r="F9">
            <v>2</v>
          </cell>
          <cell r="G9">
            <v>6863636.3636363633</v>
          </cell>
          <cell r="H9">
            <v>13727272.727272727</v>
          </cell>
          <cell r="J9">
            <v>0.25750000000000001</v>
          </cell>
          <cell r="K9">
            <v>8632000</v>
          </cell>
        </row>
        <row r="10">
          <cell r="B10" t="str">
            <v>Switch Cisco 8 Port CBS110-8T-EU</v>
          </cell>
          <cell r="C10" t="str">
            <v>WESTERN DIGITAL</v>
          </cell>
          <cell r="D10" t="str">
            <v>Thailand</v>
          </cell>
          <cell r="E10" t="str">
            <v xml:space="preserve">Cái </v>
          </cell>
          <cell r="F10">
            <v>3</v>
          </cell>
          <cell r="G10">
            <v>1100000</v>
          </cell>
          <cell r="H10">
            <v>3300000</v>
          </cell>
          <cell r="J10">
            <v>0.25</v>
          </cell>
          <cell r="K10">
            <v>1375000</v>
          </cell>
        </row>
        <row r="11">
          <cell r="B11" t="str">
            <v>Switch Hikvision POE 24 cổng DS-3E1326P-EI</v>
          </cell>
          <cell r="E11" t="str">
            <v xml:space="preserve">Cái </v>
          </cell>
          <cell r="F11">
            <v>2</v>
          </cell>
          <cell r="G11">
            <v>3900000</v>
          </cell>
          <cell r="H11">
            <v>7800000</v>
          </cell>
          <cell r="J11">
            <v>0.15</v>
          </cell>
          <cell r="K11">
            <v>4485000</v>
          </cell>
        </row>
        <row r="12">
          <cell r="B12" t="str">
            <v>Switch Hikvision POE 16 cổng DS-3E1318P-EI</v>
          </cell>
          <cell r="E12" t="str">
            <v xml:space="preserve">Cái </v>
          </cell>
          <cell r="F12">
            <v>2</v>
          </cell>
          <cell r="G12">
            <v>3330000</v>
          </cell>
          <cell r="H12">
            <v>6660000</v>
          </cell>
          <cell r="J12">
            <v>0.15</v>
          </cell>
          <cell r="K12">
            <v>3830000</v>
          </cell>
        </row>
        <row r="13">
          <cell r="B13" t="str">
            <v>Màn hình quan sát 43 inch</v>
          </cell>
          <cell r="E13" t="str">
            <v>Cái</v>
          </cell>
          <cell r="F13">
            <v>1</v>
          </cell>
          <cell r="G13">
            <v>6200000</v>
          </cell>
          <cell r="H13">
            <v>6200000</v>
          </cell>
          <cell r="J13">
            <v>0.28999999999999998</v>
          </cell>
          <cell r="K13">
            <v>7998000</v>
          </cell>
        </row>
        <row r="14">
          <cell r="B14" t="str">
            <v xml:space="preserve">Khung kệ tivi </v>
          </cell>
          <cell r="E14" t="str">
            <v>Cái</v>
          </cell>
          <cell r="F14">
            <v>1</v>
          </cell>
          <cell r="G14">
            <v>300000</v>
          </cell>
          <cell r="H14">
            <v>300000</v>
          </cell>
          <cell r="J14">
            <v>0.66</v>
          </cell>
          <cell r="K14">
            <v>498000</v>
          </cell>
        </row>
        <row r="15">
          <cell r="B15" t="str">
            <v>Cáp HDMI 10m</v>
          </cell>
          <cell r="E15" t="str">
            <v>Sợi</v>
          </cell>
          <cell r="F15">
            <v>2</v>
          </cell>
          <cell r="G15">
            <v>300000</v>
          </cell>
          <cell r="H15">
            <v>600000</v>
          </cell>
          <cell r="J15">
            <v>0.63</v>
          </cell>
          <cell r="K15">
            <v>489000</v>
          </cell>
        </row>
        <row r="16">
          <cell r="B16" t="str">
            <v>HẠNG MỤC TRUYỀN DẪN</v>
          </cell>
          <cell r="H16">
            <v>33686557.377049178</v>
          </cell>
          <cell r="J16">
            <v>0.34771860157284123</v>
          </cell>
        </row>
        <row r="17">
          <cell r="B17" t="str">
            <v>Cáp quang 4FO</v>
          </cell>
          <cell r="E17" t="str">
            <v>Mét</v>
          </cell>
          <cell r="F17">
            <v>200</v>
          </cell>
          <cell r="G17">
            <v>2300</v>
          </cell>
          <cell r="H17">
            <v>460000</v>
          </cell>
          <cell r="J17">
            <v>1</v>
          </cell>
          <cell r="K17">
            <v>5000</v>
          </cell>
        </row>
        <row r="18">
          <cell r="B18" t="str">
            <v>Cáp Mạng Cat6 AMP</v>
          </cell>
          <cell r="E18" t="str">
            <v>Mét</v>
          </cell>
          <cell r="F18">
            <v>3500</v>
          </cell>
          <cell r="G18">
            <v>8459.0163934426237</v>
          </cell>
          <cell r="H18">
            <v>29606557.377049182</v>
          </cell>
          <cell r="J18">
            <v>0.33</v>
          </cell>
          <cell r="K18">
            <v>11300</v>
          </cell>
        </row>
        <row r="19">
          <cell r="B19" t="str">
            <v>Converter A/B 1000M</v>
          </cell>
          <cell r="C19" t="str">
            <v>Cisco</v>
          </cell>
          <cell r="D19" t="str">
            <v>China</v>
          </cell>
          <cell r="E19" t="str">
            <v>Cặp</v>
          </cell>
          <cell r="F19">
            <v>1</v>
          </cell>
          <cell r="G19">
            <v>1000000</v>
          </cell>
          <cell r="H19">
            <v>1000000</v>
          </cell>
          <cell r="J19">
            <v>0.6</v>
          </cell>
          <cell r="K19">
            <v>1600000</v>
          </cell>
        </row>
        <row r="20">
          <cell r="B20" t="str">
            <v>Tủ Mạng Rack 4U</v>
          </cell>
          <cell r="E20" t="str">
            <v>Cái</v>
          </cell>
          <cell r="F20">
            <v>1</v>
          </cell>
          <cell r="G20">
            <v>620000</v>
          </cell>
          <cell r="H20">
            <v>620000</v>
          </cell>
          <cell r="J20">
            <v>0.16</v>
          </cell>
          <cell r="K20">
            <v>720000</v>
          </cell>
        </row>
        <row r="21">
          <cell r="B21" t="str">
            <v>Tủ Mạng Rack 6U</v>
          </cell>
          <cell r="E21" t="str">
            <v xml:space="preserve">Cái </v>
          </cell>
          <cell r="F21">
            <v>1</v>
          </cell>
          <cell r="G21">
            <v>700000</v>
          </cell>
          <cell r="H21">
            <v>700000</v>
          </cell>
          <cell r="J21">
            <v>0.45</v>
          </cell>
          <cell r="K21">
            <v>1015000</v>
          </cell>
        </row>
        <row r="22">
          <cell r="B22" t="str">
            <v>Tủ Mạng Rack 9U</v>
          </cell>
          <cell r="E22" t="str">
            <v xml:space="preserve">Cái </v>
          </cell>
          <cell r="F22">
            <v>1</v>
          </cell>
          <cell r="G22">
            <v>1300000</v>
          </cell>
          <cell r="H22">
            <v>1300000</v>
          </cell>
          <cell r="J22">
            <v>0.16500000000000001</v>
          </cell>
          <cell r="K22">
            <v>1515000</v>
          </cell>
        </row>
        <row r="23">
          <cell r="H23">
            <v>579000</v>
          </cell>
          <cell r="J23">
            <v>7.2538860103626937E-2</v>
          </cell>
        </row>
        <row r="24">
          <cell r="B24" t="str">
            <v xml:space="preserve">Dây điện 2x2.5mm </v>
          </cell>
          <cell r="E24" t="str">
            <v>Mét</v>
          </cell>
          <cell r="F24">
            <v>30</v>
          </cell>
          <cell r="G24">
            <v>19300</v>
          </cell>
          <cell r="H24">
            <v>579000</v>
          </cell>
          <cell r="J24">
            <v>7.0000000000000007E-2</v>
          </cell>
          <cell r="K24">
            <v>20700</v>
          </cell>
        </row>
        <row r="25">
          <cell r="H25">
            <v>6018181.8181818184</v>
          </cell>
          <cell r="J25">
            <v>0.15018126888217528</v>
          </cell>
        </row>
        <row r="26">
          <cell r="B26" t="str">
            <v>Nguồn lưu điện 650VA</v>
          </cell>
          <cell r="E26" t="str">
            <v xml:space="preserve">Cái </v>
          </cell>
          <cell r="F26">
            <v>2</v>
          </cell>
          <cell r="G26">
            <v>1018181.8181818181</v>
          </cell>
          <cell r="H26">
            <v>2036363.6363636362</v>
          </cell>
          <cell r="J26">
            <v>0.15</v>
          </cell>
          <cell r="K26">
            <v>1171000</v>
          </cell>
        </row>
        <row r="27">
          <cell r="B27" t="str">
            <v>Nguồn lưu điện 1000VA</v>
          </cell>
          <cell r="E27" t="str">
            <v xml:space="preserve">Cái </v>
          </cell>
          <cell r="F27">
            <v>1</v>
          </cell>
          <cell r="G27">
            <v>3981818.1818181816</v>
          </cell>
          <cell r="H27">
            <v>3981818.1818181816</v>
          </cell>
          <cell r="J27">
            <v>0.15</v>
          </cell>
          <cell r="K27">
            <v>4580000</v>
          </cell>
        </row>
        <row r="28">
          <cell r="H28">
            <v>13078666.666666666</v>
          </cell>
          <cell r="J28">
            <v>0.30013253134876139</v>
          </cell>
        </row>
        <row r="29">
          <cell r="B29" t="str">
            <v>Vật tư phụ</v>
          </cell>
          <cell r="E29" t="str">
            <v>Gói</v>
          </cell>
          <cell r="F29">
            <v>1</v>
          </cell>
          <cell r="G29">
            <v>7000000</v>
          </cell>
          <cell r="H29">
            <v>7000000</v>
          </cell>
          <cell r="J29">
            <v>0.35</v>
          </cell>
          <cell r="K29">
            <v>9450000</v>
          </cell>
        </row>
        <row r="30">
          <cell r="B30" t="str">
            <v>Ống điện Phi 20</v>
          </cell>
          <cell r="E30" t="str">
            <v>Mét</v>
          </cell>
          <cell r="F30">
            <v>800</v>
          </cell>
          <cell r="G30">
            <v>7333.333333333333</v>
          </cell>
          <cell r="H30">
            <v>5866666.666666666</v>
          </cell>
          <cell r="J30">
            <v>0.12</v>
          </cell>
          <cell r="K30">
            <v>9000</v>
          </cell>
        </row>
        <row r="31">
          <cell r="B31" t="str">
            <v>Ruột gà phi 20</v>
          </cell>
          <cell r="E31" t="str">
            <v>Mét</v>
          </cell>
          <cell r="F31">
            <v>50</v>
          </cell>
          <cell r="G31">
            <v>3000</v>
          </cell>
          <cell r="H31">
            <v>150000</v>
          </cell>
          <cell r="J31">
            <v>0.35</v>
          </cell>
          <cell r="K31">
            <v>5000</v>
          </cell>
        </row>
        <row r="32">
          <cell r="B32" t="str">
            <v>Dây nhảy quang SC 3m</v>
          </cell>
          <cell r="E32" t="str">
            <v xml:space="preserve">Cái </v>
          </cell>
          <cell r="F32">
            <v>2</v>
          </cell>
          <cell r="G32">
            <v>16000</v>
          </cell>
          <cell r="H32">
            <v>32000</v>
          </cell>
          <cell r="J32">
            <v>0.65</v>
          </cell>
          <cell r="K32">
            <v>27000</v>
          </cell>
        </row>
        <row r="33">
          <cell r="B33" t="str">
            <v xml:space="preserve">ODF mini 2FO </v>
          </cell>
          <cell r="E33" t="str">
            <v xml:space="preserve">Cái </v>
          </cell>
          <cell r="F33">
            <v>1</v>
          </cell>
          <cell r="G33">
            <v>30000</v>
          </cell>
          <cell r="H33">
            <v>30000</v>
          </cell>
          <cell r="J33">
            <v>0.65</v>
          </cell>
          <cell r="K33">
            <v>50000</v>
          </cell>
        </row>
        <row r="34">
          <cell r="H34">
            <v>40000000</v>
          </cell>
          <cell r="J34">
            <v>0.25</v>
          </cell>
        </row>
        <row r="35">
          <cell r="B35" t="str">
            <v>Nhân công</v>
          </cell>
          <cell r="E35" t="str">
            <v>Công</v>
          </cell>
          <cell r="F35">
            <v>80</v>
          </cell>
          <cell r="G35">
            <v>500000</v>
          </cell>
          <cell r="H35">
            <v>40000000</v>
          </cell>
          <cell r="J35">
            <v>0.25</v>
          </cell>
          <cell r="K35">
            <v>625000</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externalLinkPath" Target="/Users/dangt/Documents/Zalo%20Received%20Files/2022.05.09%20BG%20CAMERA%20D'EDGE.xlsx" TargetMode="External"/><Relationship Id="rId2" Type="http://schemas.openxmlformats.org/officeDocument/2006/relationships/externalLinkPath" Target="/Users/dangt/Documents/Zalo%20Received%20Files/2022.05.09%20BG%20CAMERA%20D'EDGE.xlsx" TargetMode="External"/><Relationship Id="rId1" Type="http://schemas.openxmlformats.org/officeDocument/2006/relationships/externalLinkPath" Target="/Users/dangt/Documents/Zalo%20Received%20Files/2022.05.09%20BG%20CAMERA%20D'EDGE.xlsx" TargetMode="External"/><Relationship Id="rId5" Type="http://schemas.openxmlformats.org/officeDocument/2006/relationships/printerSettings" Target="../printerSettings/printerSettings2.bin"/><Relationship Id="rId4" Type="http://schemas.openxmlformats.org/officeDocument/2006/relationships/hyperlink" Target="https://dienmayhoanghai.vn/tivi-samsung/smart-tivi-samsung-4k-50-inch-50au7002-uhd-moi-2022.htm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mailto:info@thiensu.com.vn%20-www.thiensu.com.vn"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info@thiensu.com.vn%20-www.thiensu.com.vn"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externalLinkPath" Target="/Users/dangt/Documents/Zalo%20Received%20Files/2022.05.09%20BG%20CAMERA%20D'EDGE.xlsx" TargetMode="External"/><Relationship Id="rId2" Type="http://schemas.openxmlformats.org/officeDocument/2006/relationships/externalLinkPath" Target="/Users/dangt/Documents/Zalo%20Received%20Files/2022.05.09%20BG%20CAMERA%20D'EDGE.xlsx" TargetMode="External"/><Relationship Id="rId1" Type="http://schemas.openxmlformats.org/officeDocument/2006/relationships/externalLinkPath" Target="/Users/dangt/Documents/Zalo%20Received%20Files/2022.05.09%20BG%20CAMERA%20D'EDGE.xlsx" TargetMode="External"/><Relationship Id="rId5" Type="http://schemas.openxmlformats.org/officeDocument/2006/relationships/printerSettings" Target="../printerSettings/printerSettings8.bin"/><Relationship Id="rId4" Type="http://schemas.openxmlformats.org/officeDocument/2006/relationships/hyperlink" Target="https://dienmayhoanghai.vn/tivi-samsung/smart-tivi-samsung-4k-50-inch-50au7002-uhd-moi-202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43"/>
  <sheetViews>
    <sheetView view="pageBreakPreview" zoomScaleNormal="100" zoomScaleSheetLayoutView="100" zoomScalePageLayoutView="85" workbookViewId="0">
      <selection activeCell="C11" sqref="C11:D11"/>
    </sheetView>
  </sheetViews>
  <sheetFormatPr defaultColWidth="9.140625" defaultRowHeight="15" x14ac:dyDescent="0.25"/>
  <cols>
    <col min="1" max="1" width="12.140625" style="464" customWidth="1"/>
    <col min="2" max="2" width="8.5703125" style="496" customWidth="1"/>
    <col min="3" max="3" width="15.85546875" style="464" customWidth="1"/>
    <col min="4" max="4" width="41.28515625" style="464" customWidth="1"/>
    <col min="5" max="5" width="14.42578125" style="464" customWidth="1"/>
    <col min="6" max="6" width="9.140625" style="464" customWidth="1"/>
    <col min="7" max="7" width="24.140625" style="464" customWidth="1"/>
    <col min="8" max="8" width="22" style="464" customWidth="1"/>
    <col min="9" max="9" width="17.28515625" style="464" customWidth="1"/>
    <col min="10" max="16384" width="9.140625" style="464"/>
  </cols>
  <sheetData>
    <row r="1" spans="2:9" s="461" customFormat="1" ht="31.5" customHeight="1" x14ac:dyDescent="0.25">
      <c r="B1" s="691" t="s">
        <v>204</v>
      </c>
      <c r="C1" s="691"/>
      <c r="D1" s="691"/>
      <c r="E1" s="691"/>
      <c r="F1" s="691"/>
      <c r="G1" s="692" t="s">
        <v>205</v>
      </c>
      <c r="H1" s="692"/>
      <c r="I1" s="460"/>
    </row>
    <row r="2" spans="2:9" ht="16.899999999999999" customHeight="1" x14ac:dyDescent="0.25">
      <c r="B2" s="462"/>
      <c r="C2" s="463" t="s">
        <v>206</v>
      </c>
      <c r="D2" s="687" t="s">
        <v>207</v>
      </c>
      <c r="E2" s="687"/>
      <c r="F2" s="687"/>
      <c r="G2" s="460"/>
      <c r="H2" s="460"/>
      <c r="I2" s="460"/>
    </row>
    <row r="3" spans="2:9" ht="16.5" x14ac:dyDescent="0.25">
      <c r="B3" s="462"/>
      <c r="C3" s="463" t="s">
        <v>208</v>
      </c>
      <c r="D3" s="687"/>
      <c r="E3" s="687"/>
      <c r="F3" s="687"/>
      <c r="G3" s="463" t="s">
        <v>209</v>
      </c>
      <c r="H3" s="465">
        <f ca="1">TODAY()</f>
        <v>46195</v>
      </c>
      <c r="I3" s="463"/>
    </row>
    <row r="4" spans="2:9" ht="16.5" x14ac:dyDescent="0.25">
      <c r="B4" s="462"/>
      <c r="C4" s="463" t="s">
        <v>210</v>
      </c>
      <c r="D4" s="687"/>
      <c r="E4" s="687"/>
      <c r="F4" s="687"/>
      <c r="G4" s="463" t="s">
        <v>211</v>
      </c>
      <c r="H4" s="465">
        <f ca="1">H3+30</f>
        <v>46225</v>
      </c>
      <c r="I4" s="463"/>
    </row>
    <row r="5" spans="2:9" ht="16.5" x14ac:dyDescent="0.25">
      <c r="B5" s="462"/>
      <c r="C5" s="463" t="s">
        <v>212</v>
      </c>
      <c r="D5" s="687" t="s">
        <v>213</v>
      </c>
      <c r="E5" s="687"/>
      <c r="F5" s="687"/>
      <c r="G5" s="463" t="s">
        <v>214</v>
      </c>
      <c r="H5" s="466"/>
      <c r="I5" s="462"/>
    </row>
    <row r="6" spans="2:9" ht="16.899999999999999" x14ac:dyDescent="0.3">
      <c r="B6" s="462"/>
      <c r="C6" s="463"/>
      <c r="D6" s="687"/>
      <c r="E6" s="687"/>
      <c r="F6" s="687"/>
      <c r="G6" s="463"/>
      <c r="H6" s="463"/>
      <c r="I6" s="463"/>
    </row>
    <row r="7" spans="2:9" ht="17.25" thickBot="1" x14ac:dyDescent="0.3">
      <c r="B7" s="462"/>
      <c r="C7" s="688" t="s">
        <v>215</v>
      </c>
      <c r="D7" s="688"/>
      <c r="E7" s="688"/>
      <c r="F7" s="688"/>
      <c r="G7" s="688"/>
      <c r="H7" s="688"/>
      <c r="I7" s="688"/>
    </row>
    <row r="8" spans="2:9" ht="39.950000000000003" customHeight="1" x14ac:dyDescent="0.25">
      <c r="B8" s="467" t="s">
        <v>1</v>
      </c>
      <c r="C8" s="689" t="s">
        <v>216</v>
      </c>
      <c r="D8" s="690"/>
      <c r="E8" s="468" t="s">
        <v>217</v>
      </c>
      <c r="F8" s="468" t="s">
        <v>61</v>
      </c>
      <c r="G8" s="468" t="s">
        <v>218</v>
      </c>
      <c r="H8" s="469" t="s">
        <v>50</v>
      </c>
      <c r="I8" s="470" t="s">
        <v>22</v>
      </c>
    </row>
    <row r="9" spans="2:9" ht="28.5" customHeight="1" x14ac:dyDescent="0.25">
      <c r="B9" s="471" t="s">
        <v>219</v>
      </c>
      <c r="C9" s="472"/>
      <c r="D9" s="473"/>
      <c r="E9" s="474"/>
      <c r="F9" s="474"/>
      <c r="G9" s="474"/>
      <c r="H9" s="475">
        <f>SUBTOTAL(9,H10:H32)</f>
        <v>434818000</v>
      </c>
      <c r="I9" s="476"/>
    </row>
    <row r="10" spans="2:9" s="461" customFormat="1" ht="125.25" customHeight="1" x14ac:dyDescent="0.3">
      <c r="B10" s="477">
        <v>1</v>
      </c>
      <c r="C10" s="679" t="str">
        <f>bgct!$C10</f>
        <v>Camera IP Dome 2MP
- Cảm biến ảnh: CMOS 1/2.9″ 2.0megapixel
- Chuẩn nén H.265+/ H.265/ H.264+/ H.264
- Độ phân giải 1920×1080
- Tính năng lọc hồng ngoại ICR, 0lux với hồng ngoại
- Ống kính 2.8mm
- Công suất : 6.5W</v>
      </c>
      <c r="D10" s="679"/>
      <c r="E10" s="477" t="str">
        <f>VLOOKUP(C10,bgct!$C$10:$E$17,2,0)</f>
        <v>Cái</v>
      </c>
      <c r="F10" s="477">
        <f>VLOOKUP(C10,bgct!$C$10:$E$17,3,0)</f>
        <v>113</v>
      </c>
      <c r="G10" s="478">
        <v>730000</v>
      </c>
      <c r="H10" s="479">
        <f>G10*F10</f>
        <v>82490000</v>
      </c>
      <c r="I10" s="480"/>
    </row>
    <row r="11" spans="2:9" s="461" customFormat="1" ht="115.5" customHeight="1" x14ac:dyDescent="0.3">
      <c r="B11" s="477">
        <v>2</v>
      </c>
      <c r="C11" s="679" t="str">
        <f>bgct!$C11</f>
        <v>Camera IP thân 2MP
'- Cảm biến ảnh: CMOS 1/2.9″ 2.0megapixel
- Chuẩn nén H.265+/ H.265/ H.264+/ H.264
- Độ phân giải 1920×1080
- Tính năng lọc hồng ngoại ICR, 0lux với hồng ngoại
- Ống kính 2.8mm
- Công suất : 6.5W</v>
      </c>
      <c r="D11" s="679"/>
      <c r="E11" s="477" t="str">
        <f>VLOOKUP(C11,bgct!$C$10:$E$17,2,0)</f>
        <v>Cái</v>
      </c>
      <c r="F11" s="477">
        <f>VLOOKUP(C11,bgct!$C$10:$E$17,3,0)</f>
        <v>14</v>
      </c>
      <c r="G11" s="478">
        <v>710000</v>
      </c>
      <c r="H11" s="479">
        <f t="shared" ref="H11:H32" si="0">G11*F11</f>
        <v>9940000</v>
      </c>
      <c r="I11" s="480"/>
    </row>
    <row r="12" spans="2:9" s="461" customFormat="1" ht="115.5" customHeight="1" x14ac:dyDescent="0.25">
      <c r="B12" s="477">
        <v>3</v>
      </c>
      <c r="C12" s="679" t="str">
        <f>bgct!$C12</f>
        <v>Đầu ghi hình camera IP 32 kênh
'– Chuẩn nén H.265+/H.265/H.264+/H.264
– Hỗ trợ độ phân giải ghi hình lên đến 12MP
– Băng thông đầu vào 256Mbps
– Băng thông đầu ra 160Mbps
– Hỗ trợ 4 ổ cứng, dung lượng tối đa mỗi ổ 10TB
- Công suất 20W</v>
      </c>
      <c r="D12" s="679"/>
      <c r="E12" s="477" t="str">
        <f>VLOOKUP(C12,bgct!$C$10:$E$17,2,0)</f>
        <v>Cái</v>
      </c>
      <c r="F12" s="477">
        <f>VLOOKUP(C12,bgct!$C$10:$E$17,3,0)</f>
        <v>4</v>
      </c>
      <c r="G12" s="478">
        <v>9340000</v>
      </c>
      <c r="H12" s="479">
        <f t="shared" si="0"/>
        <v>37360000</v>
      </c>
      <c r="I12" s="480"/>
    </row>
    <row r="13" spans="2:9" s="461" customFormat="1" ht="91.5" customHeight="1" x14ac:dyDescent="0.25">
      <c r="B13" s="477">
        <v>4</v>
      </c>
      <c r="C13" s="679" t="str">
        <f>bgct!$C13</f>
        <v>- Ổ cứng 8TB HDD chuyên nghiệp cho camera.
- Dung lượng: 8TB
- Kết nối: SATA III
- Cache: 256MB
- Công suất : 5.3W</v>
      </c>
      <c r="D13" s="679"/>
      <c r="E13" s="477" t="str">
        <f>VLOOKUP(C13,bgct!$C$10:$E$17,2,0)</f>
        <v>Cái</v>
      </c>
      <c r="F13" s="477">
        <f>VLOOKUP(C13,bgct!$C$10:$E$17,3,0)</f>
        <v>8</v>
      </c>
      <c r="G13" s="478">
        <v>5992000.0000000009</v>
      </c>
      <c r="H13" s="479">
        <f t="shared" si="0"/>
        <v>47936000.000000007</v>
      </c>
      <c r="I13" s="480"/>
    </row>
    <row r="14" spans="2:9" s="461" customFormat="1" ht="172.5" customHeight="1" x14ac:dyDescent="0.25">
      <c r="B14" s="477">
        <v>5</v>
      </c>
      <c r="C14" s="679" t="str">
        <f>bgct!$C14</f>
        <v>Swtich POE 24 cổng
- Hỗ trợ 24 × 100Mbps PoE RJ45 ports, 2 × gigabit combos.
- Cổng ưu tiên: Cổng 1 - 8.
- Bảng địa chỉ MAC: 16K.
- Khả năng chuyển mạch 8.8Gbps.
- Tốc độ chuyển tiếp gói tin: 6.5472Mpps.
- Tương thích chuẩn IEEE 802.3af/at.
- Công suất PoE: 370W.</v>
      </c>
      <c r="D14" s="679"/>
      <c r="E14" s="477" t="s">
        <v>3</v>
      </c>
      <c r="F14" s="477">
        <v>4</v>
      </c>
      <c r="G14" s="478">
        <v>5077000</v>
      </c>
      <c r="H14" s="479">
        <f t="shared" si="0"/>
        <v>20308000</v>
      </c>
      <c r="I14" s="480"/>
    </row>
    <row r="15" spans="2:9" s="461" customFormat="1" ht="115.5" customHeight="1" x14ac:dyDescent="0.25">
      <c r="B15" s="477">
        <v>6</v>
      </c>
      <c r="C15" s="679" t="str">
        <f>bgct!$C15</f>
        <v>- Switch mạng thông minh 16 cổng PoE.
- Hỗ trợ tính năng cấu hình quản lý bằng phần mềm.
-16 cổng PoE RJ45 100Mbps, 2 cổng RJ45 Gigabit, 2 cổng quang
-Tự tương thích chuẩn IEEE 802.3af/at.
- Công suất PoE 230W.</v>
      </c>
      <c r="D15" s="679"/>
      <c r="E15" s="477" t="s">
        <v>3</v>
      </c>
      <c r="F15" s="477">
        <v>4</v>
      </c>
      <c r="G15" s="478">
        <v>4438000</v>
      </c>
      <c r="H15" s="479">
        <f t="shared" si="0"/>
        <v>17752000</v>
      </c>
      <c r="I15" s="480"/>
    </row>
    <row r="16" spans="2:9" s="461" customFormat="1" ht="87.75" customHeight="1" x14ac:dyDescent="0.25">
      <c r="B16" s="477">
        <v>7</v>
      </c>
      <c r="C16" s="679" t="str">
        <f>bgct!$C16</f>
        <v>Switch 16 port
- Hỗ trợ 16 cổng Gigabit Ethernet RJ-45
- Công suất : 9.96W</v>
      </c>
      <c r="D16" s="679"/>
      <c r="E16" s="477" t="s">
        <v>3</v>
      </c>
      <c r="F16" s="477">
        <v>1</v>
      </c>
      <c r="G16" s="478">
        <v>3892000.0000000005</v>
      </c>
      <c r="H16" s="479">
        <f t="shared" si="0"/>
        <v>3892000.0000000005</v>
      </c>
      <c r="I16" s="480"/>
    </row>
    <row r="17" spans="2:9" s="461" customFormat="1" ht="27" customHeight="1" x14ac:dyDescent="0.25">
      <c r="B17" s="477">
        <v>8</v>
      </c>
      <c r="C17" s="679" t="str">
        <f>bgct!$B18</f>
        <v>Màn hình quan sát SamSung 43inch</v>
      </c>
      <c r="D17" s="679"/>
      <c r="E17" s="477" t="s">
        <v>146</v>
      </c>
      <c r="F17" s="477">
        <f>bgct!$E$18</f>
        <v>4</v>
      </c>
      <c r="G17" s="478">
        <v>9000000</v>
      </c>
      <c r="H17" s="479">
        <f t="shared" si="0"/>
        <v>36000000</v>
      </c>
      <c r="I17" s="480"/>
    </row>
    <row r="18" spans="2:9" s="461" customFormat="1" ht="27" customHeight="1" x14ac:dyDescent="0.25">
      <c r="B18" s="477">
        <v>9</v>
      </c>
      <c r="C18" s="679" t="str">
        <f>bgct!$B19</f>
        <v>Khung kệ tivi</v>
      </c>
      <c r="D18" s="679"/>
      <c r="E18" s="477" t="s">
        <v>3</v>
      </c>
      <c r="F18" s="477">
        <f>bgct!$E$18</f>
        <v>4</v>
      </c>
      <c r="G18" s="478">
        <v>500000</v>
      </c>
      <c r="H18" s="479">
        <f t="shared" si="0"/>
        <v>2000000</v>
      </c>
      <c r="I18" s="480"/>
    </row>
    <row r="19" spans="2:9" s="461" customFormat="1" ht="27" customHeight="1" x14ac:dyDescent="0.25">
      <c r="B19" s="477">
        <v>10</v>
      </c>
      <c r="C19" s="679" t="str">
        <f>bgct!$B20</f>
        <v>Cáp HDMI 15m Unitek</v>
      </c>
      <c r="D19" s="679"/>
      <c r="E19" s="477" t="s">
        <v>220</v>
      </c>
      <c r="F19" s="477">
        <f>bgct!$E$18</f>
        <v>4</v>
      </c>
      <c r="G19" s="478">
        <v>700000</v>
      </c>
      <c r="H19" s="479">
        <f t="shared" si="0"/>
        <v>2800000</v>
      </c>
      <c r="I19" s="480"/>
    </row>
    <row r="20" spans="2:9" s="461" customFormat="1" ht="27" customHeight="1" x14ac:dyDescent="0.25">
      <c r="B20" s="477">
        <v>11</v>
      </c>
      <c r="C20" s="679" t="str">
        <f>bgct!$B22</f>
        <v xml:space="preserve">Cáp quang 4FO </v>
      </c>
      <c r="D20" s="679"/>
      <c r="E20" s="477" t="s">
        <v>4</v>
      </c>
      <c r="F20" s="477">
        <v>400</v>
      </c>
      <c r="G20" s="478">
        <v>6000</v>
      </c>
      <c r="H20" s="479">
        <f t="shared" si="0"/>
        <v>2400000</v>
      </c>
      <c r="I20" s="480"/>
    </row>
    <row r="21" spans="2:9" s="461" customFormat="1" ht="27" customHeight="1" x14ac:dyDescent="0.25">
      <c r="B21" s="477">
        <v>12</v>
      </c>
      <c r="C21" s="679" t="str">
        <f>bgct!$B23</f>
        <v>Cáp mạng Cat5E</v>
      </c>
      <c r="D21" s="679"/>
      <c r="E21" s="477" t="s">
        <v>4</v>
      </c>
      <c r="F21" s="477">
        <v>7300</v>
      </c>
      <c r="G21" s="478">
        <v>10500</v>
      </c>
      <c r="H21" s="479">
        <f t="shared" si="0"/>
        <v>76650000</v>
      </c>
      <c r="I21" s="480"/>
    </row>
    <row r="22" spans="2:9" s="461" customFormat="1" ht="27" customHeight="1" x14ac:dyDescent="0.25">
      <c r="B22" s="477">
        <v>13</v>
      </c>
      <c r="C22" s="679" t="str">
        <f>bgct!$B24</f>
        <v>Converter A/B 1000M</v>
      </c>
      <c r="D22" s="679"/>
      <c r="E22" s="477" t="s">
        <v>7</v>
      </c>
      <c r="F22" s="477">
        <v>4</v>
      </c>
      <c r="G22" s="478">
        <v>1380000</v>
      </c>
      <c r="H22" s="479">
        <f t="shared" si="0"/>
        <v>5520000</v>
      </c>
      <c r="I22" s="480"/>
    </row>
    <row r="23" spans="2:9" s="461" customFormat="1" ht="27" customHeight="1" x14ac:dyDescent="0.25">
      <c r="B23" s="477">
        <v>14</v>
      </c>
      <c r="C23" s="679" t="str">
        <f>bgct!$B25</f>
        <v>Tủ mạng rack 6U</v>
      </c>
      <c r="D23" s="679"/>
      <c r="E23" s="477" t="s">
        <v>3</v>
      </c>
      <c r="F23" s="477">
        <v>2</v>
      </c>
      <c r="G23" s="478">
        <v>1250000</v>
      </c>
      <c r="H23" s="479">
        <f t="shared" si="0"/>
        <v>2500000</v>
      </c>
      <c r="I23" s="480"/>
    </row>
    <row r="24" spans="2:9" s="461" customFormat="1" ht="27" customHeight="1" x14ac:dyDescent="0.25">
      <c r="B24" s="477">
        <v>15</v>
      </c>
      <c r="C24" s="679" t="str">
        <f>bgct!$B26</f>
        <v>Tủ mạng rack 10U</v>
      </c>
      <c r="D24" s="679"/>
      <c r="E24" s="477" t="s">
        <v>3</v>
      </c>
      <c r="F24" s="477">
        <v>2</v>
      </c>
      <c r="G24" s="478">
        <v>1760000</v>
      </c>
      <c r="H24" s="479">
        <f t="shared" si="0"/>
        <v>3520000</v>
      </c>
      <c r="I24" s="480"/>
    </row>
    <row r="25" spans="2:9" s="461" customFormat="1" ht="27" customHeight="1" x14ac:dyDescent="0.25">
      <c r="B25" s="477">
        <v>16</v>
      </c>
      <c r="C25" s="679" t="str">
        <f>bgct!$B27</f>
        <v>Tủ mạng rack 42U</v>
      </c>
      <c r="D25" s="679"/>
      <c r="E25" s="477" t="s">
        <v>3</v>
      </c>
      <c r="F25" s="477">
        <v>1</v>
      </c>
      <c r="G25" s="478">
        <v>8820000</v>
      </c>
      <c r="H25" s="479">
        <f t="shared" si="0"/>
        <v>8820000</v>
      </c>
      <c r="I25" s="480"/>
    </row>
    <row r="26" spans="2:9" s="461" customFormat="1" ht="27" customHeight="1" x14ac:dyDescent="0.25">
      <c r="B26" s="477">
        <v>17</v>
      </c>
      <c r="C26" s="679" t="str">
        <f>bgct!$B28</f>
        <v xml:space="preserve">ODF 12 FO </v>
      </c>
      <c r="D26" s="679"/>
      <c r="E26" s="477" t="s">
        <v>3</v>
      </c>
      <c r="F26" s="477">
        <v>1</v>
      </c>
      <c r="G26" s="478">
        <v>750000</v>
      </c>
      <c r="H26" s="479">
        <f t="shared" si="0"/>
        <v>750000</v>
      </c>
      <c r="I26" s="480"/>
    </row>
    <row r="27" spans="2:9" s="461" customFormat="1" ht="27" customHeight="1" x14ac:dyDescent="0.25">
      <c r="B27" s="477">
        <v>18</v>
      </c>
      <c r="C27" s="679" t="str">
        <f>bgct!$B30</f>
        <v>Dây điện CVV 2x2.5</v>
      </c>
      <c r="D27" s="679"/>
      <c r="E27" s="477" t="str">
        <f>VLOOKUP(C27,'PTLL (2)'!$B$5:$J$42,2,0)</f>
        <v xml:space="preserve">Mét </v>
      </c>
      <c r="F27" s="481">
        <v>200</v>
      </c>
      <c r="G27" s="478">
        <v>23000</v>
      </c>
      <c r="H27" s="479">
        <f t="shared" si="0"/>
        <v>4600000</v>
      </c>
      <c r="I27" s="480"/>
    </row>
    <row r="28" spans="2:9" s="461" customFormat="1" ht="27" customHeight="1" x14ac:dyDescent="0.25">
      <c r="B28" s="477">
        <v>19</v>
      </c>
      <c r="C28" s="679" t="str">
        <f>bgct!$B31</f>
        <v>Thanh nguồn PDU đa năng 6 ổ cắm 3 chấu chuẩn 19"</v>
      </c>
      <c r="D28" s="679"/>
      <c r="E28" s="477" t="str">
        <f>VLOOKUP(C28,'PTLL (2)'!$B$5:$J$42,2,0)</f>
        <v>Cái</v>
      </c>
      <c r="F28" s="481">
        <f>VLOOKUP(C28,'PTLL (2)'!$B$5:$J$42,3,0)</f>
        <v>3</v>
      </c>
      <c r="G28" s="478">
        <v>1080000</v>
      </c>
      <c r="H28" s="479">
        <f t="shared" si="0"/>
        <v>3240000</v>
      </c>
      <c r="I28" s="480"/>
    </row>
    <row r="29" spans="2:9" s="461" customFormat="1" ht="27" customHeight="1" x14ac:dyDescent="0.25">
      <c r="B29" s="477">
        <v>20</v>
      </c>
      <c r="C29" s="679" t="str">
        <f>bgct!$B33</f>
        <v>Nguồn lưu điện 2KVA  UPS</v>
      </c>
      <c r="D29" s="679"/>
      <c r="E29" s="477" t="str">
        <f>VLOOKUP(C29,'PTLL (2)'!$B$5:$J$42,2,0)</f>
        <v xml:space="preserve">Bộ </v>
      </c>
      <c r="F29" s="481">
        <f>VLOOKUP(C29,'PTLL (2)'!$B$5:$J$42,3,0)</f>
        <v>2</v>
      </c>
      <c r="G29" s="478">
        <v>6980000</v>
      </c>
      <c r="H29" s="479">
        <f t="shared" si="0"/>
        <v>13960000</v>
      </c>
      <c r="I29" s="480"/>
    </row>
    <row r="30" spans="2:9" s="461" customFormat="1" ht="27" customHeight="1" x14ac:dyDescent="0.25">
      <c r="B30" s="477">
        <v>21</v>
      </c>
      <c r="C30" s="679" t="str">
        <f>bgct!$B34</f>
        <v>Nguồn lưu điện 1K2VA UPS</v>
      </c>
      <c r="D30" s="679"/>
      <c r="E30" s="477" t="str">
        <f>VLOOKUP(C30,'PTLL (2)'!$B$5:$J$42,2,0)</f>
        <v xml:space="preserve">Bộ </v>
      </c>
      <c r="F30" s="481">
        <f>VLOOKUP(C30,'PTLL (2)'!$B$5:$J$42,3,0)</f>
        <v>2</v>
      </c>
      <c r="G30" s="478">
        <v>3020000</v>
      </c>
      <c r="H30" s="479">
        <f t="shared" si="0"/>
        <v>6040000</v>
      </c>
      <c r="I30" s="480"/>
    </row>
    <row r="31" spans="2:9" s="461" customFormat="1" ht="27" customHeight="1" x14ac:dyDescent="0.25">
      <c r="B31" s="477">
        <v>22</v>
      </c>
      <c r="C31" s="679" t="str">
        <f>bgct!$B35</f>
        <v xml:space="preserve">Nguồn lưu điện 3KVA UPS </v>
      </c>
      <c r="D31" s="679"/>
      <c r="E31" s="477" t="str">
        <f>VLOOKUP(C31,'PTLL (2)'!$B$5:$J$42,2,0)</f>
        <v xml:space="preserve">Bộ </v>
      </c>
      <c r="F31" s="481">
        <f>VLOOKUP(C31,'PTLL (2)'!$B$5:$J$42,3,0)</f>
        <v>1</v>
      </c>
      <c r="G31" s="478">
        <v>9640000</v>
      </c>
      <c r="H31" s="479">
        <f t="shared" si="0"/>
        <v>9640000</v>
      </c>
      <c r="I31" s="480"/>
    </row>
    <row r="32" spans="2:9" s="461" customFormat="1" ht="27" customHeight="1" x14ac:dyDescent="0.25">
      <c r="B32" s="477">
        <v>23</v>
      </c>
      <c r="C32" s="679" t="str">
        <f>bgct!$B$37</f>
        <v>Vật tư phụ</v>
      </c>
      <c r="D32" s="679"/>
      <c r="E32" s="477" t="s">
        <v>6</v>
      </c>
      <c r="F32" s="477">
        <v>1</v>
      </c>
      <c r="G32" s="478">
        <v>36700000</v>
      </c>
      <c r="H32" s="479">
        <f t="shared" si="0"/>
        <v>36700000</v>
      </c>
      <c r="I32" s="480"/>
    </row>
    <row r="33" spans="2:9" ht="30" customHeight="1" x14ac:dyDescent="0.25">
      <c r="B33" s="482" t="s">
        <v>221</v>
      </c>
      <c r="C33" s="483"/>
      <c r="D33" s="483"/>
      <c r="E33" s="483"/>
      <c r="F33" s="483"/>
      <c r="G33" s="484"/>
      <c r="H33" s="485">
        <f>SUBTOTAL(9,H34)</f>
        <v>112000000</v>
      </c>
      <c r="I33" s="486"/>
    </row>
    <row r="34" spans="2:9" s="461" customFormat="1" ht="30" customHeight="1" x14ac:dyDescent="0.25">
      <c r="B34" s="487">
        <v>1</v>
      </c>
      <c r="C34" s="680" t="s">
        <v>108</v>
      </c>
      <c r="D34" s="681"/>
      <c r="E34" s="488" t="s">
        <v>6</v>
      </c>
      <c r="F34" s="488">
        <v>1</v>
      </c>
      <c r="G34" s="489">
        <v>112000000</v>
      </c>
      <c r="H34" s="490">
        <f>G34*F34</f>
        <v>112000000</v>
      </c>
      <c r="I34" s="491"/>
    </row>
    <row r="35" spans="2:9" ht="16.5" x14ac:dyDescent="0.25">
      <c r="B35" s="682" t="s">
        <v>222</v>
      </c>
      <c r="C35" s="683"/>
      <c r="D35" s="683"/>
      <c r="E35" s="683"/>
      <c r="F35" s="683"/>
      <c r="G35" s="684"/>
      <c r="H35" s="492">
        <f>SUBTOTAL(9,H8:H34)</f>
        <v>546818000</v>
      </c>
      <c r="I35" s="493"/>
    </row>
    <row r="36" spans="2:9" ht="16.5" x14ac:dyDescent="0.25">
      <c r="B36" s="685" t="s">
        <v>223</v>
      </c>
      <c r="C36" s="686"/>
      <c r="D36" s="686"/>
      <c r="E36" s="686"/>
      <c r="F36" s="686"/>
      <c r="G36" s="686"/>
      <c r="H36" s="494">
        <f>H35*0.1</f>
        <v>54681800</v>
      </c>
      <c r="I36" s="493"/>
    </row>
    <row r="37" spans="2:9" ht="16.5" x14ac:dyDescent="0.25">
      <c r="B37" s="685" t="s">
        <v>224</v>
      </c>
      <c r="C37" s="686"/>
      <c r="D37" s="686"/>
      <c r="E37" s="686"/>
      <c r="F37" s="686"/>
      <c r="G37" s="686"/>
      <c r="H37" s="495">
        <f>H35+H36</f>
        <v>601499800</v>
      </c>
      <c r="I37" s="493"/>
    </row>
    <row r="38" spans="2:9" ht="17.25" thickBot="1" x14ac:dyDescent="0.3">
      <c r="B38" s="674" t="s">
        <v>225</v>
      </c>
      <c r="C38" s="675"/>
      <c r="D38" s="675"/>
      <c r="E38" s="676" t="e">
        <f ca="1">[14]!vnd(H37)</f>
        <v>#NAME?</v>
      </c>
      <c r="F38" s="676"/>
      <c r="G38" s="676"/>
      <c r="H38" s="676"/>
      <c r="I38" s="677"/>
    </row>
    <row r="40" spans="2:9" ht="15.75" x14ac:dyDescent="0.25">
      <c r="C40" s="497" t="s">
        <v>226</v>
      </c>
      <c r="D40" s="497"/>
    </row>
    <row r="41" spans="2:9" ht="29.25" customHeight="1" x14ac:dyDescent="0.25">
      <c r="C41" s="678" t="s">
        <v>227</v>
      </c>
      <c r="D41" s="678"/>
      <c r="E41" s="678"/>
      <c r="F41" s="678"/>
      <c r="G41" s="678"/>
      <c r="H41" s="678"/>
      <c r="I41" s="678"/>
    </row>
    <row r="42" spans="2:9" ht="123" customHeight="1" x14ac:dyDescent="0.25">
      <c r="C42" s="678" t="s">
        <v>228</v>
      </c>
      <c r="D42" s="678"/>
      <c r="E42" s="678"/>
      <c r="F42" s="678"/>
      <c r="G42" s="678"/>
      <c r="H42" s="678"/>
      <c r="I42" s="678"/>
    </row>
    <row r="43" spans="2:9" x14ac:dyDescent="0.25">
      <c r="C43" s="498" t="s">
        <v>229</v>
      </c>
      <c r="D43" s="499"/>
      <c r="E43" s="499"/>
      <c r="F43" s="499"/>
      <c r="G43" s="499"/>
      <c r="H43" s="500"/>
      <c r="I43" s="499"/>
    </row>
  </sheetData>
  <mergeCells count="40">
    <mergeCell ref="D5:F5"/>
    <mergeCell ref="B1:F1"/>
    <mergeCell ref="G1:H1"/>
    <mergeCell ref="D2:F2"/>
    <mergeCell ref="D3:F3"/>
    <mergeCell ref="D4:F4"/>
    <mergeCell ref="C18:D18"/>
    <mergeCell ref="D6:F6"/>
    <mergeCell ref="C7:I7"/>
    <mergeCell ref="C8:D8"/>
    <mergeCell ref="C10:D10"/>
    <mergeCell ref="C11:D11"/>
    <mergeCell ref="C12:D12"/>
    <mergeCell ref="C13:D13"/>
    <mergeCell ref="C14:D14"/>
    <mergeCell ref="C15:D15"/>
    <mergeCell ref="C16:D16"/>
    <mergeCell ref="C17:D17"/>
    <mergeCell ref="C30:D30"/>
    <mergeCell ref="C19:D19"/>
    <mergeCell ref="C20:D20"/>
    <mergeCell ref="C21:D21"/>
    <mergeCell ref="C22:D22"/>
    <mergeCell ref="C23:D23"/>
    <mergeCell ref="C24:D24"/>
    <mergeCell ref="C25:D25"/>
    <mergeCell ref="C26:D26"/>
    <mergeCell ref="C27:D27"/>
    <mergeCell ref="C28:D28"/>
    <mergeCell ref="C29:D29"/>
    <mergeCell ref="B38:D38"/>
    <mergeCell ref="E38:I38"/>
    <mergeCell ref="C41:I41"/>
    <mergeCell ref="C42:I42"/>
    <mergeCell ref="C31:D31"/>
    <mergeCell ref="C32:D32"/>
    <mergeCell ref="C34:D34"/>
    <mergeCell ref="B35:G35"/>
    <mergeCell ref="B36:G36"/>
    <mergeCell ref="B37:G37"/>
  </mergeCells>
  <dataValidations count="1">
    <dataValidation type="list" allowBlank="1" showInputMessage="1" showErrorMessage="1" sqref="H5">
      <formula1>"Mr. Hiệp, Mr. Khanh, Mr. Tỷ"</formula1>
    </dataValidation>
  </dataValidations>
  <pageMargins left="0.168910256410256" right="5.4487179487179502E-3" top="0.93823529411764695" bottom="0.32692307692307698" header="0.15256410256410299" footer="0.14711538461538501"/>
  <pageSetup paperSize="9" scale="61" fitToHeight="0" orientation="portrait" horizontalDpi="1200" verticalDpi="1200" r:id="rId1"/>
  <headerFooter>
    <oddHeader>&amp;C&amp;G</oddHeader>
    <oddFooter>&amp;C&amp;"+,thường"Page &amp;P</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88"/>
  <sheetViews>
    <sheetView view="pageBreakPreview" zoomScale="60" zoomScaleNormal="25" workbookViewId="0">
      <pane xSplit="2" ySplit="3" topLeftCell="C24" activePane="bottomRight" state="frozen"/>
      <selection activeCell="G23" sqref="G23"/>
      <selection pane="topRight" activeCell="G23" sqref="G23"/>
      <selection pane="bottomLeft" activeCell="G23" sqref="G23"/>
      <selection pane="bottomRight" activeCell="B13" sqref="B13"/>
    </sheetView>
  </sheetViews>
  <sheetFormatPr defaultColWidth="22.140625" defaultRowHeight="17.25" outlineLevelRow="1" x14ac:dyDescent="0.25"/>
  <cols>
    <col min="1" max="1" width="8.42578125" customWidth="1"/>
    <col min="2" max="2" width="87.42578125" customWidth="1"/>
    <col min="3" max="3" width="21.5703125" customWidth="1"/>
    <col min="4" max="4" width="19.7109375" customWidth="1"/>
    <col min="5" max="5" width="31.5703125" customWidth="1"/>
    <col min="6" max="6" width="39.7109375" customWidth="1"/>
    <col min="7" max="7" width="13.5703125" customWidth="1"/>
    <col min="8" max="8" width="19.140625" style="1" customWidth="1"/>
    <col min="9" max="9" width="34.140625" style="2" customWidth="1"/>
    <col min="10" max="10" width="30.85546875" style="1" customWidth="1"/>
    <col min="11" max="11" width="25" customWidth="1"/>
    <col min="12" max="12" width="26.7109375" style="5" customWidth="1"/>
    <col min="13" max="13" width="136" style="6" customWidth="1"/>
    <col min="14" max="14" width="10.85546875" style="7" customWidth="1"/>
    <col min="15" max="15" width="15.7109375" style="6" customWidth="1"/>
    <col min="16" max="16" width="21.7109375" style="7" customWidth="1"/>
    <col min="17" max="17" width="7.140625" customWidth="1"/>
    <col min="18" max="18" width="10.28515625" customWidth="1"/>
    <col min="19" max="19" width="25.85546875" customWidth="1"/>
    <col min="20" max="20" width="16.7109375" customWidth="1"/>
    <col min="21" max="21" width="22" style="6" customWidth="1"/>
    <col min="22" max="22" width="18.85546875" style="8" customWidth="1"/>
    <col min="23" max="23" width="25.28515625" customWidth="1"/>
    <col min="24" max="24" width="28" style="6" customWidth="1"/>
    <col min="25" max="25" width="25.28515625" customWidth="1"/>
    <col min="26" max="26" width="12.140625" customWidth="1"/>
    <col min="27" max="27" width="14.140625" style="8" customWidth="1"/>
    <col min="28" max="28" width="17.5703125" style="6" customWidth="1"/>
    <col min="29" max="29" width="21.42578125" style="6" customWidth="1"/>
    <col min="30" max="30" width="10.85546875" customWidth="1"/>
  </cols>
  <sheetData>
    <row r="1" spans="1:30" ht="83.25" customHeight="1" x14ac:dyDescent="0.4">
      <c r="A1" s="737" t="s">
        <v>273</v>
      </c>
      <c r="B1" s="737"/>
      <c r="C1" s="737"/>
      <c r="D1" s="737"/>
      <c r="E1" s="737"/>
      <c r="F1" s="737"/>
      <c r="G1" s="737"/>
      <c r="H1" s="737"/>
      <c r="I1" s="737"/>
      <c r="J1" s="737"/>
      <c r="K1" s="737"/>
      <c r="L1" s="737"/>
      <c r="M1" s="147"/>
      <c r="N1" s="148"/>
      <c r="O1" s="147"/>
      <c r="P1" s="148"/>
      <c r="Q1" s="149"/>
      <c r="R1" s="149"/>
      <c r="S1" s="150" t="s">
        <v>70</v>
      </c>
      <c r="T1" s="151">
        <f>C71</f>
        <v>98696329.093333334</v>
      </c>
      <c r="U1" s="147"/>
      <c r="V1" s="152"/>
      <c r="W1" s="153"/>
      <c r="X1" s="147" t="s">
        <v>67</v>
      </c>
      <c r="Y1" s="153" t="e">
        <f>AC44-U44</f>
        <v>#DIV/0!</v>
      </c>
      <c r="Z1" s="154"/>
      <c r="AA1" s="152"/>
      <c r="AB1" s="147"/>
      <c r="AC1" s="147"/>
      <c r="AD1" s="149"/>
    </row>
    <row r="2" spans="1:30" s="12" customFormat="1" ht="32.1" customHeight="1" x14ac:dyDescent="0.4">
      <c r="A2" s="727" t="s">
        <v>1</v>
      </c>
      <c r="B2" s="738" t="s">
        <v>19</v>
      </c>
      <c r="C2" s="727" t="s">
        <v>20</v>
      </c>
      <c r="D2" s="727" t="s">
        <v>21</v>
      </c>
      <c r="E2" s="155" t="s">
        <v>91</v>
      </c>
      <c r="F2" s="155"/>
      <c r="G2" s="155"/>
      <c r="H2" s="155" t="s">
        <v>92</v>
      </c>
      <c r="I2" s="155"/>
      <c r="J2" s="155"/>
      <c r="K2" s="729" t="s">
        <v>256</v>
      </c>
      <c r="L2" s="727" t="s">
        <v>22</v>
      </c>
      <c r="M2" s="158" t="s">
        <v>41</v>
      </c>
      <c r="N2" s="148" t="s">
        <v>42</v>
      </c>
      <c r="O2" s="147" t="s">
        <v>43</v>
      </c>
      <c r="P2" s="148" t="s">
        <v>44</v>
      </c>
      <c r="Q2" s="149"/>
      <c r="R2" s="149"/>
      <c r="S2" s="150" t="s">
        <v>60</v>
      </c>
      <c r="T2" s="151">
        <f>SUMIF($AD$5:$AD$27,C72,$U$5:$U$27)</f>
        <v>0</v>
      </c>
      <c r="U2" s="159" t="e">
        <f>T1/T2</f>
        <v>#DIV/0!</v>
      </c>
      <c r="V2" s="152"/>
      <c r="W2" s="149"/>
      <c r="X2" s="147" t="s">
        <v>69</v>
      </c>
      <c r="Y2" s="160" t="e">
        <f>T1-Y1</f>
        <v>#DIV/0!</v>
      </c>
      <c r="Z2" s="149"/>
      <c r="AA2" s="152"/>
      <c r="AB2" s="147"/>
      <c r="AC2" s="147"/>
      <c r="AD2" s="149"/>
    </row>
    <row r="3" spans="1:30" s="12" customFormat="1" ht="32.1" customHeight="1" x14ac:dyDescent="0.4">
      <c r="A3" s="728"/>
      <c r="B3" s="739"/>
      <c r="C3" s="728"/>
      <c r="D3" s="728"/>
      <c r="E3" s="161" t="s">
        <v>23</v>
      </c>
      <c r="F3" s="161" t="s">
        <v>2</v>
      </c>
      <c r="G3" s="162" t="s">
        <v>24</v>
      </c>
      <c r="H3" s="163" t="s">
        <v>25</v>
      </c>
      <c r="I3" s="161" t="s">
        <v>23</v>
      </c>
      <c r="J3" s="161" t="s">
        <v>2</v>
      </c>
      <c r="K3" s="730"/>
      <c r="L3" s="728"/>
      <c r="M3" s="147"/>
      <c r="N3" s="148"/>
      <c r="O3" s="147"/>
      <c r="P3" s="148" t="s">
        <v>45</v>
      </c>
      <c r="Q3" s="149"/>
      <c r="R3" s="164" t="s">
        <v>61</v>
      </c>
      <c r="S3" s="164" t="s">
        <v>54</v>
      </c>
      <c r="T3" s="164" t="s">
        <v>55</v>
      </c>
      <c r="U3" s="165" t="s">
        <v>2</v>
      </c>
      <c r="V3" s="735" t="s">
        <v>63</v>
      </c>
      <c r="W3" s="731" t="s">
        <v>64</v>
      </c>
      <c r="X3" s="733" t="s">
        <v>62</v>
      </c>
      <c r="Y3" s="719" t="s">
        <v>64</v>
      </c>
      <c r="Z3" s="721" t="s">
        <v>68</v>
      </c>
      <c r="AA3" s="723" t="s">
        <v>65</v>
      </c>
      <c r="AB3" s="725" t="s">
        <v>66</v>
      </c>
      <c r="AC3" s="166" t="s">
        <v>50</v>
      </c>
      <c r="AD3" s="715" t="s">
        <v>56</v>
      </c>
    </row>
    <row r="4" spans="1:30" s="12" customFormat="1" ht="57" customHeight="1" x14ac:dyDescent="0.4">
      <c r="A4" s="167" t="s">
        <v>26</v>
      </c>
      <c r="B4" s="168" t="s">
        <v>48</v>
      </c>
      <c r="C4" s="169"/>
      <c r="D4" s="169"/>
      <c r="E4" s="169"/>
      <c r="F4" s="170">
        <f>SUBTOTAL(9,F5:F14)</f>
        <v>197734000</v>
      </c>
      <c r="G4" s="169"/>
      <c r="H4" s="171">
        <f>K4/F4</f>
        <v>0.35699475052343049</v>
      </c>
      <c r="I4" s="169"/>
      <c r="J4" s="170">
        <f>SUBTOTAL(9,J5:J14)</f>
        <v>268324000</v>
      </c>
      <c r="K4" s="170">
        <f>SUBTOTAL(9,K5:K14)</f>
        <v>70590000</v>
      </c>
      <c r="L4" s="172"/>
      <c r="M4" s="147"/>
      <c r="N4" s="148"/>
      <c r="O4" s="147"/>
      <c r="P4" s="148"/>
      <c r="Q4" s="149"/>
      <c r="R4" s="173"/>
      <c r="S4" s="173"/>
      <c r="T4" s="173"/>
      <c r="U4" s="174"/>
      <c r="V4" s="736"/>
      <c r="W4" s="732"/>
      <c r="X4" s="734"/>
      <c r="Y4" s="720"/>
      <c r="Z4" s="722"/>
      <c r="AA4" s="724"/>
      <c r="AB4" s="726"/>
      <c r="AC4" s="175"/>
      <c r="AD4" s="716"/>
    </row>
    <row r="5" spans="1:30" s="10" customFormat="1" ht="69" customHeight="1" outlineLevel="1" x14ac:dyDescent="0.25">
      <c r="A5" s="176">
        <f>_xlfn.AGGREGATE(3,5,$B$5:B5)</f>
        <v>1</v>
      </c>
      <c r="B5" s="177" t="s">
        <v>137</v>
      </c>
      <c r="C5" s="178" t="s">
        <v>3</v>
      </c>
      <c r="D5" s="618">
        <f>113+5</f>
        <v>118</v>
      </c>
      <c r="E5" s="595">
        <v>538000</v>
      </c>
      <c r="F5" s="180">
        <f t="shared" ref="F5:F14" si="0">E5*D5</f>
        <v>63484000</v>
      </c>
      <c r="G5" s="181"/>
      <c r="H5" s="182">
        <v>0.46</v>
      </c>
      <c r="I5" s="183">
        <f>ROUNDUP((E5+G5+E5*H5),-3)</f>
        <v>786000</v>
      </c>
      <c r="J5" s="184">
        <f t="shared" ref="J5:J14" si="1">I5*D5</f>
        <v>92748000</v>
      </c>
      <c r="K5" s="184">
        <f t="shared" ref="K5:K14" si="2">J5-F5</f>
        <v>29264000</v>
      </c>
      <c r="L5" s="185"/>
      <c r="M5" s="186">
        <f>1300000/1.1</f>
        <v>1181818.1818181816</v>
      </c>
      <c r="N5" s="187">
        <v>0.45</v>
      </c>
      <c r="O5" s="186">
        <f t="shared" ref="O5:O11" si="3">M5*(1-N5)</f>
        <v>650000</v>
      </c>
      <c r="P5" s="187">
        <f>O5/E5</f>
        <v>1.20817843866171</v>
      </c>
      <c r="Q5" s="187">
        <f>E5/M5</f>
        <v>0.45523076923076927</v>
      </c>
      <c r="R5" s="188">
        <f>D5</f>
        <v>118</v>
      </c>
      <c r="S5" s="189">
        <f>E5</f>
        <v>538000</v>
      </c>
      <c r="T5" s="189">
        <f t="shared" ref="T5:T19" si="4">I5</f>
        <v>786000</v>
      </c>
      <c r="U5" s="190">
        <f t="shared" ref="U5:U19" si="5">T5*R5</f>
        <v>92748000</v>
      </c>
      <c r="V5" s="191" t="e">
        <f t="shared" ref="V5:V19" si="6">IF(AD5=1,U5*$U$2/R5+T5,T5)</f>
        <v>#DIV/0!</v>
      </c>
      <c r="W5" s="192" t="e">
        <f>1-T5/V5</f>
        <v>#DIV/0!</v>
      </c>
      <c r="X5" s="193">
        <v>940000</v>
      </c>
      <c r="Y5" s="194">
        <f>IF(X5&lt;&gt;0,1-T5/X5," ")</f>
        <v>0.16382978723404251</v>
      </c>
      <c r="Z5" s="195"/>
      <c r="AA5" s="189">
        <f>IF(Z5&lt;&gt;0,Z5,R5)</f>
        <v>118</v>
      </c>
      <c r="AB5" s="190">
        <f>IF(X5&lt;&gt;0, X5,V5)</f>
        <v>940000</v>
      </c>
      <c r="AC5" s="190">
        <f>AA5*AB5</f>
        <v>110920000</v>
      </c>
      <c r="AD5" s="196">
        <v>1</v>
      </c>
    </row>
    <row r="6" spans="1:30" s="10" customFormat="1" ht="69" customHeight="1" outlineLevel="1" x14ac:dyDescent="0.25">
      <c r="A6" s="197">
        <f>_xlfn.AGGREGATE(3,5,$B$5:B6)</f>
        <v>2</v>
      </c>
      <c r="B6" s="198" t="s">
        <v>138</v>
      </c>
      <c r="C6" s="199" t="s">
        <v>3</v>
      </c>
      <c r="D6" s="617">
        <v>14</v>
      </c>
      <c r="E6" s="595">
        <v>510000</v>
      </c>
      <c r="F6" s="201">
        <f t="shared" si="0"/>
        <v>7140000</v>
      </c>
      <c r="G6" s="202"/>
      <c r="H6" s="182">
        <v>0.46</v>
      </c>
      <c r="I6" s="183">
        <f t="shared" ref="I6:I11" si="7">ROUNDUP((E6+G6+E6*H6),-3)</f>
        <v>745000</v>
      </c>
      <c r="J6" s="204">
        <f t="shared" si="1"/>
        <v>10430000</v>
      </c>
      <c r="K6" s="204">
        <f t="shared" si="2"/>
        <v>3290000</v>
      </c>
      <c r="L6" s="205"/>
      <c r="M6" s="186">
        <f>1300000/1.1</f>
        <v>1181818.1818181816</v>
      </c>
      <c r="N6" s="206">
        <v>0.46500000000000002</v>
      </c>
      <c r="O6" s="207">
        <f t="shared" si="3"/>
        <v>632272.72727272706</v>
      </c>
      <c r="P6" s="206">
        <f>O6/E6</f>
        <v>1.2397504456327981</v>
      </c>
      <c r="Q6" s="187"/>
      <c r="R6" s="188"/>
      <c r="S6" s="189"/>
      <c r="T6" s="189"/>
      <c r="U6" s="190"/>
      <c r="V6" s="191"/>
      <c r="W6" s="192"/>
      <c r="X6" s="193"/>
      <c r="Y6" s="194"/>
      <c r="Z6" s="195"/>
      <c r="AA6" s="189"/>
      <c r="AB6" s="190"/>
      <c r="AC6" s="190"/>
      <c r="AD6" s="196"/>
    </row>
    <row r="7" spans="1:30" s="10" customFormat="1" ht="69" customHeight="1" outlineLevel="1" x14ac:dyDescent="0.25">
      <c r="A7" s="197">
        <f>_xlfn.AGGREGATE(3,5,$B$5:B7)</f>
        <v>3</v>
      </c>
      <c r="B7" s="208" t="s">
        <v>89</v>
      </c>
      <c r="C7" s="199" t="s">
        <v>3</v>
      </c>
      <c r="D7" s="200">
        <v>4</v>
      </c>
      <c r="E7" s="596">
        <v>6650000</v>
      </c>
      <c r="F7" s="201">
        <f t="shared" si="0"/>
        <v>26600000</v>
      </c>
      <c r="G7" s="202"/>
      <c r="H7" s="203">
        <v>0.45</v>
      </c>
      <c r="I7" s="183">
        <f t="shared" si="7"/>
        <v>9643000</v>
      </c>
      <c r="J7" s="204">
        <f t="shared" si="1"/>
        <v>38572000</v>
      </c>
      <c r="K7" s="204">
        <f t="shared" si="2"/>
        <v>11972000</v>
      </c>
      <c r="L7" s="209"/>
      <c r="M7" s="210">
        <f>16690000/1.1</f>
        <v>15172727.272727272</v>
      </c>
      <c r="N7" s="187">
        <v>0.43</v>
      </c>
      <c r="O7" s="186">
        <f t="shared" si="3"/>
        <v>8648454.5454545449</v>
      </c>
      <c r="P7" s="187">
        <f t="shared" ref="P7:P20" si="8">O7/E7</f>
        <v>1.3005194805194804</v>
      </c>
      <c r="Q7" s="187"/>
      <c r="R7" s="188">
        <f t="shared" ref="R7:S14" si="9">D7</f>
        <v>4</v>
      </c>
      <c r="S7" s="189">
        <f t="shared" si="9"/>
        <v>6650000</v>
      </c>
      <c r="T7" s="189">
        <f t="shared" si="4"/>
        <v>9643000</v>
      </c>
      <c r="U7" s="190">
        <f t="shared" si="5"/>
        <v>38572000</v>
      </c>
      <c r="V7" s="191" t="e">
        <f t="shared" si="6"/>
        <v>#DIV/0!</v>
      </c>
      <c r="W7" s="192" t="e">
        <f t="shared" ref="W7:W19" si="10">1-T7/V7</f>
        <v>#DIV/0!</v>
      </c>
      <c r="X7" s="193">
        <v>66800000</v>
      </c>
      <c r="Y7" s="194">
        <f t="shared" ref="Y7:Y14" si="11">IF(X7&lt;&gt;0,1-T7/X7," ")</f>
        <v>0.85564371257485028</v>
      </c>
      <c r="Z7" s="195"/>
      <c r="AA7" s="189">
        <f t="shared" ref="AA7:AA14" si="12">IF(Z7&lt;&gt;0,Z7,R7)</f>
        <v>4</v>
      </c>
      <c r="AB7" s="190">
        <f t="shared" ref="AB7:AB14" si="13">IF(X7&lt;&gt;0, X7,V7)</f>
        <v>66800000</v>
      </c>
      <c r="AC7" s="190">
        <f t="shared" ref="AC7:AC14" si="14">AA7*AB7</f>
        <v>267200000</v>
      </c>
      <c r="AD7" s="196">
        <v>1</v>
      </c>
    </row>
    <row r="8" spans="1:30" s="10" customFormat="1" ht="50.25" customHeight="1" outlineLevel="1" thickBot="1" x14ac:dyDescent="0.3">
      <c r="A8" s="197">
        <f>_xlfn.AGGREGATE(3,5,$B$5:B8)</f>
        <v>4</v>
      </c>
      <c r="B8" s="208" t="s">
        <v>74</v>
      </c>
      <c r="C8" s="199" t="s">
        <v>3</v>
      </c>
      <c r="D8" s="200">
        <v>8</v>
      </c>
      <c r="E8" s="596">
        <v>4930000</v>
      </c>
      <c r="F8" s="201">
        <f t="shared" si="0"/>
        <v>39440000</v>
      </c>
      <c r="G8" s="202"/>
      <c r="H8" s="203">
        <v>0.22</v>
      </c>
      <c r="I8" s="183">
        <f t="shared" si="7"/>
        <v>6015000</v>
      </c>
      <c r="J8" s="204">
        <f t="shared" si="1"/>
        <v>48120000</v>
      </c>
      <c r="K8" s="204">
        <f t="shared" si="2"/>
        <v>8680000</v>
      </c>
      <c r="L8" s="209"/>
      <c r="M8" s="211">
        <v>5879000</v>
      </c>
      <c r="N8" s="187">
        <v>0.18</v>
      </c>
      <c r="O8" s="186">
        <f t="shared" si="3"/>
        <v>4820780</v>
      </c>
      <c r="P8" s="187">
        <f t="shared" si="8"/>
        <v>0.9778458417849899</v>
      </c>
      <c r="Q8" s="212"/>
      <c r="R8" s="188">
        <f t="shared" si="9"/>
        <v>8</v>
      </c>
      <c r="S8" s="189">
        <f t="shared" si="9"/>
        <v>4930000</v>
      </c>
      <c r="T8" s="189">
        <f t="shared" si="4"/>
        <v>6015000</v>
      </c>
      <c r="U8" s="190">
        <f t="shared" si="5"/>
        <v>48120000</v>
      </c>
      <c r="V8" s="191">
        <f t="shared" si="6"/>
        <v>6015000</v>
      </c>
      <c r="W8" s="192">
        <f t="shared" si="10"/>
        <v>0</v>
      </c>
      <c r="X8" s="193"/>
      <c r="Y8" s="194" t="str">
        <f t="shared" si="11"/>
        <v xml:space="preserve"> </v>
      </c>
      <c r="Z8" s="195"/>
      <c r="AA8" s="189">
        <f t="shared" si="12"/>
        <v>8</v>
      </c>
      <c r="AB8" s="190">
        <f t="shared" si="13"/>
        <v>6015000</v>
      </c>
      <c r="AC8" s="190">
        <f t="shared" si="14"/>
        <v>48120000</v>
      </c>
      <c r="AD8" s="196"/>
    </row>
    <row r="9" spans="1:30" s="10" customFormat="1" ht="50.25" customHeight="1" outlineLevel="1" x14ac:dyDescent="0.25">
      <c r="A9" s="199">
        <f>_xlfn.AGGREGATE(3,5,$B$5:B9)</f>
        <v>5</v>
      </c>
      <c r="B9" s="208" t="s">
        <v>82</v>
      </c>
      <c r="C9" s="199" t="s">
        <v>3</v>
      </c>
      <c r="D9" s="200">
        <v>4</v>
      </c>
      <c r="E9" s="596">
        <v>3660000</v>
      </c>
      <c r="F9" s="201">
        <f t="shared" si="0"/>
        <v>14640000</v>
      </c>
      <c r="G9" s="202"/>
      <c r="H9" s="203">
        <v>0.4</v>
      </c>
      <c r="I9" s="183">
        <f t="shared" si="7"/>
        <v>5124000</v>
      </c>
      <c r="J9" s="204">
        <f t="shared" si="1"/>
        <v>20496000</v>
      </c>
      <c r="K9" s="204">
        <f t="shared" si="2"/>
        <v>5856000</v>
      </c>
      <c r="L9" s="209"/>
      <c r="M9" s="186">
        <f>8730000/1.1</f>
        <v>7936363.6363636358</v>
      </c>
      <c r="N9" s="187">
        <v>0.43</v>
      </c>
      <c r="O9" s="186">
        <f t="shared" si="3"/>
        <v>4523727.2727272725</v>
      </c>
      <c r="P9" s="187">
        <f t="shared" si="8"/>
        <v>1.2359910581222056</v>
      </c>
      <c r="Q9" s="212"/>
      <c r="R9" s="188">
        <f t="shared" si="9"/>
        <v>4</v>
      </c>
      <c r="S9" s="189">
        <f t="shared" si="9"/>
        <v>3660000</v>
      </c>
      <c r="T9" s="189">
        <f t="shared" si="4"/>
        <v>5124000</v>
      </c>
      <c r="U9" s="190">
        <f t="shared" si="5"/>
        <v>20496000</v>
      </c>
      <c r="V9" s="191" t="e">
        <f t="shared" si="6"/>
        <v>#DIV/0!</v>
      </c>
      <c r="W9" s="192" t="e">
        <f t="shared" si="10"/>
        <v>#DIV/0!</v>
      </c>
      <c r="X9" s="193">
        <v>8480000</v>
      </c>
      <c r="Y9" s="194">
        <f t="shared" si="11"/>
        <v>0.39575471698113207</v>
      </c>
      <c r="Z9" s="195"/>
      <c r="AA9" s="189">
        <f t="shared" si="12"/>
        <v>4</v>
      </c>
      <c r="AB9" s="190">
        <f t="shared" si="13"/>
        <v>8480000</v>
      </c>
      <c r="AC9" s="190">
        <f t="shared" si="14"/>
        <v>33920000</v>
      </c>
      <c r="AD9" s="196">
        <v>1</v>
      </c>
    </row>
    <row r="10" spans="1:30" s="10" customFormat="1" ht="50.25" customHeight="1" outlineLevel="1" x14ac:dyDescent="0.25">
      <c r="A10" s="199">
        <f>_xlfn.AGGREGATE(3,5,$B$5:B10)</f>
        <v>6</v>
      </c>
      <c r="B10" s="208" t="s">
        <v>148</v>
      </c>
      <c r="C10" s="199" t="s">
        <v>3</v>
      </c>
      <c r="D10" s="200">
        <v>4</v>
      </c>
      <c r="E10" s="596">
        <v>2920000</v>
      </c>
      <c r="F10" s="201">
        <f t="shared" si="0"/>
        <v>11680000</v>
      </c>
      <c r="G10" s="202"/>
      <c r="H10" s="203">
        <v>0.4</v>
      </c>
      <c r="I10" s="183">
        <f t="shared" si="7"/>
        <v>4088000</v>
      </c>
      <c r="J10" s="204">
        <f t="shared" si="1"/>
        <v>16352000</v>
      </c>
      <c r="K10" s="204">
        <f t="shared" si="2"/>
        <v>4672000</v>
      </c>
      <c r="L10" s="209"/>
      <c r="M10" s="186">
        <v>6950000</v>
      </c>
      <c r="N10" s="187">
        <v>0.43</v>
      </c>
      <c r="O10" s="186">
        <f t="shared" si="3"/>
        <v>3961500.0000000005</v>
      </c>
      <c r="P10" s="187">
        <f t="shared" si="8"/>
        <v>1.356678082191781</v>
      </c>
      <c r="Q10" s="212"/>
      <c r="R10" s="188">
        <f t="shared" si="9"/>
        <v>4</v>
      </c>
      <c r="S10" s="189">
        <f t="shared" si="9"/>
        <v>2920000</v>
      </c>
      <c r="T10" s="189">
        <f t="shared" si="4"/>
        <v>4088000</v>
      </c>
      <c r="U10" s="190">
        <f t="shared" si="5"/>
        <v>16352000</v>
      </c>
      <c r="V10" s="191" t="e">
        <f t="shared" si="6"/>
        <v>#DIV/0!</v>
      </c>
      <c r="W10" s="192" t="e">
        <f t="shared" si="10"/>
        <v>#DIV/0!</v>
      </c>
      <c r="X10" s="193">
        <v>6150000</v>
      </c>
      <c r="Y10" s="194">
        <f t="shared" si="11"/>
        <v>0.33528455284552849</v>
      </c>
      <c r="Z10" s="195"/>
      <c r="AA10" s="189">
        <f t="shared" si="12"/>
        <v>4</v>
      </c>
      <c r="AB10" s="190">
        <f t="shared" si="13"/>
        <v>6150000</v>
      </c>
      <c r="AC10" s="190">
        <f t="shared" si="14"/>
        <v>24600000</v>
      </c>
      <c r="AD10" s="196">
        <v>1</v>
      </c>
    </row>
    <row r="11" spans="1:30" s="13" customFormat="1" ht="50.25" customHeight="1" outlineLevel="1" x14ac:dyDescent="0.25">
      <c r="A11" s="199">
        <f>_xlfn.AGGREGATE(3,5,$B$5:B11)</f>
        <v>7</v>
      </c>
      <c r="B11" s="213" t="s">
        <v>75</v>
      </c>
      <c r="C11" s="199" t="s">
        <v>3</v>
      </c>
      <c r="D11" s="200">
        <v>1</v>
      </c>
      <c r="E11" s="596">
        <v>2950000</v>
      </c>
      <c r="F11" s="201">
        <f t="shared" si="0"/>
        <v>2950000</v>
      </c>
      <c r="G11" s="214"/>
      <c r="H11" s="203">
        <v>0.53</v>
      </c>
      <c r="I11" s="183">
        <f t="shared" si="7"/>
        <v>4514000</v>
      </c>
      <c r="J11" s="204">
        <f t="shared" si="1"/>
        <v>4514000</v>
      </c>
      <c r="K11" s="204">
        <f t="shared" si="2"/>
        <v>1564000</v>
      </c>
      <c r="L11" s="209"/>
      <c r="M11" s="210">
        <v>1499000</v>
      </c>
      <c r="N11" s="215">
        <v>0.05</v>
      </c>
      <c r="O11" s="210">
        <f t="shared" si="3"/>
        <v>1424050</v>
      </c>
      <c r="P11" s="215">
        <f t="shared" si="8"/>
        <v>0.48272881355932201</v>
      </c>
      <c r="Q11" s="216"/>
      <c r="R11" s="188">
        <f t="shared" si="9"/>
        <v>1</v>
      </c>
      <c r="S11" s="189">
        <f t="shared" si="9"/>
        <v>2950000</v>
      </c>
      <c r="T11" s="189">
        <f t="shared" si="4"/>
        <v>4514000</v>
      </c>
      <c r="U11" s="190">
        <f t="shared" si="5"/>
        <v>4514000</v>
      </c>
      <c r="V11" s="191" t="e">
        <f t="shared" si="6"/>
        <v>#DIV/0!</v>
      </c>
      <c r="W11" s="192" t="e">
        <f t="shared" si="10"/>
        <v>#DIV/0!</v>
      </c>
      <c r="X11" s="193">
        <v>2150000</v>
      </c>
      <c r="Y11" s="194">
        <f t="shared" si="11"/>
        <v>-1.0995348837209304</v>
      </c>
      <c r="Z11" s="195"/>
      <c r="AA11" s="189">
        <f t="shared" si="12"/>
        <v>1</v>
      </c>
      <c r="AB11" s="190">
        <f t="shared" si="13"/>
        <v>2150000</v>
      </c>
      <c r="AC11" s="190">
        <f t="shared" si="14"/>
        <v>2150000</v>
      </c>
      <c r="AD11" s="217">
        <v>1</v>
      </c>
    </row>
    <row r="12" spans="1:30" s="10" customFormat="1" ht="50.25" customHeight="1" outlineLevel="1" x14ac:dyDescent="0.25">
      <c r="A12" s="197">
        <f>_xlfn.AGGREGATE(3,5,$B$5:B12)</f>
        <v>8</v>
      </c>
      <c r="B12" s="218" t="s">
        <v>78</v>
      </c>
      <c r="C12" s="197" t="s">
        <v>3</v>
      </c>
      <c r="D12" s="219">
        <v>4</v>
      </c>
      <c r="E12" s="596">
        <v>7400000</v>
      </c>
      <c r="F12" s="201">
        <f t="shared" si="0"/>
        <v>29600000</v>
      </c>
      <c r="G12" s="202"/>
      <c r="H12" s="203">
        <v>0.15</v>
      </c>
      <c r="I12" s="183">
        <f>ROUNDUP((E12+G12+E12*H12),-3)</f>
        <v>8510000</v>
      </c>
      <c r="J12" s="204">
        <f t="shared" si="1"/>
        <v>34040000</v>
      </c>
      <c r="K12" s="204">
        <f t="shared" si="2"/>
        <v>4440000</v>
      </c>
      <c r="L12" s="205"/>
      <c r="M12" s="186"/>
      <c r="N12" s="187"/>
      <c r="O12" s="186"/>
      <c r="P12" s="187"/>
      <c r="Q12" s="212"/>
      <c r="R12" s="188">
        <f t="shared" si="9"/>
        <v>4</v>
      </c>
      <c r="S12" s="189">
        <f t="shared" si="9"/>
        <v>7400000</v>
      </c>
      <c r="T12" s="189">
        <f>I12</f>
        <v>8510000</v>
      </c>
      <c r="U12" s="190">
        <f>T12*R12</f>
        <v>34040000</v>
      </c>
      <c r="V12" s="191" t="e">
        <f>IF(AD12=1,U12*$U$2/R12+T12,T12)</f>
        <v>#DIV/0!</v>
      </c>
      <c r="W12" s="192" t="e">
        <f>1-T12/V12</f>
        <v>#DIV/0!</v>
      </c>
      <c r="X12" s="193">
        <v>500000</v>
      </c>
      <c r="Y12" s="194">
        <f t="shared" si="11"/>
        <v>-16.02</v>
      </c>
      <c r="Z12" s="196"/>
      <c r="AA12" s="189">
        <f t="shared" si="12"/>
        <v>4</v>
      </c>
      <c r="AB12" s="190">
        <f t="shared" si="13"/>
        <v>500000</v>
      </c>
      <c r="AC12" s="190">
        <f t="shared" si="14"/>
        <v>2000000</v>
      </c>
      <c r="AD12" s="196">
        <v>1</v>
      </c>
    </row>
    <row r="13" spans="1:30" s="13" customFormat="1" ht="50.25" customHeight="1" outlineLevel="1" x14ac:dyDescent="0.25">
      <c r="A13" s="197">
        <f>_xlfn.AGGREGATE(3,5,$B$5:B13)</f>
        <v>9</v>
      </c>
      <c r="B13" s="218" t="str">
        <f>[15]BOq!B26</f>
        <v>Khung kệ tivi</v>
      </c>
      <c r="C13" s="197" t="s">
        <v>3</v>
      </c>
      <c r="D13" s="200">
        <v>4</v>
      </c>
      <c r="E13" s="596">
        <v>150000</v>
      </c>
      <c r="F13" s="201">
        <f t="shared" si="0"/>
        <v>600000</v>
      </c>
      <c r="G13" s="214"/>
      <c r="H13" s="220">
        <v>0.35</v>
      </c>
      <c r="I13" s="183">
        <f>ROUNDUP((E13+G13+E13*H13),-3)</f>
        <v>203000</v>
      </c>
      <c r="J13" s="204">
        <f t="shared" si="1"/>
        <v>812000</v>
      </c>
      <c r="K13" s="204">
        <f t="shared" si="2"/>
        <v>212000</v>
      </c>
      <c r="L13" s="209"/>
      <c r="M13" s="210"/>
      <c r="N13" s="215"/>
      <c r="O13" s="210"/>
      <c r="P13" s="215">
        <f>O13/E13</f>
        <v>0</v>
      </c>
      <c r="Q13" s="216"/>
      <c r="R13" s="221">
        <f t="shared" si="9"/>
        <v>4</v>
      </c>
      <c r="S13" s="189">
        <f t="shared" si="9"/>
        <v>150000</v>
      </c>
      <c r="T13" s="189">
        <f>I13</f>
        <v>203000</v>
      </c>
      <c r="U13" s="190">
        <f>T13*R13</f>
        <v>812000</v>
      </c>
      <c r="V13" s="191" t="e">
        <f>IF(AD13=1,U13*$U$2/R13+T13,T13)</f>
        <v>#DIV/0!</v>
      </c>
      <c r="W13" s="192" t="e">
        <f>1-T13/V13</f>
        <v>#DIV/0!</v>
      </c>
      <c r="X13" s="193"/>
      <c r="Y13" s="194" t="str">
        <f t="shared" si="11"/>
        <v xml:space="preserve"> </v>
      </c>
      <c r="Z13" s="222">
        <v>600</v>
      </c>
      <c r="AA13" s="189">
        <f t="shared" si="12"/>
        <v>600</v>
      </c>
      <c r="AB13" s="190" t="e">
        <f t="shared" si="13"/>
        <v>#DIV/0!</v>
      </c>
      <c r="AC13" s="190" t="e">
        <f t="shared" si="14"/>
        <v>#DIV/0!</v>
      </c>
      <c r="AD13" s="217">
        <v>1</v>
      </c>
    </row>
    <row r="14" spans="1:30" s="10" customFormat="1" ht="50.25" customHeight="1" outlineLevel="1" x14ac:dyDescent="0.25">
      <c r="A14" s="223">
        <f>_xlfn.AGGREGATE(3,5,$B$5:B14)</f>
        <v>10</v>
      </c>
      <c r="B14" s="224" t="str">
        <f>[15]BOq!B27</f>
        <v>Cáp HDMI 15m Unitek</v>
      </c>
      <c r="C14" s="225" t="s">
        <v>5</v>
      </c>
      <c r="D14" s="226">
        <v>4</v>
      </c>
      <c r="E14" s="597">
        <v>400000</v>
      </c>
      <c r="F14" s="227">
        <f t="shared" si="0"/>
        <v>1600000</v>
      </c>
      <c r="G14" s="228"/>
      <c r="H14" s="220">
        <v>0.4</v>
      </c>
      <c r="I14" s="183">
        <f>ROUNDUP((E14+G14+E14*H14),-3)</f>
        <v>560000</v>
      </c>
      <c r="J14" s="229">
        <f t="shared" si="1"/>
        <v>2240000</v>
      </c>
      <c r="K14" s="229">
        <f t="shared" si="2"/>
        <v>640000</v>
      </c>
      <c r="L14" s="230"/>
      <c r="M14" s="186">
        <f>3475000/305</f>
        <v>11393.442622950819</v>
      </c>
      <c r="N14" s="187">
        <v>0.1</v>
      </c>
      <c r="O14" s="210">
        <f>M14*(1-N14)</f>
        <v>10254.098360655737</v>
      </c>
      <c r="P14" s="215">
        <f>O14/E14</f>
        <v>2.5635245901639341E-2</v>
      </c>
      <c r="Q14" s="231"/>
      <c r="R14" s="188">
        <f t="shared" si="9"/>
        <v>4</v>
      </c>
      <c r="S14" s="189">
        <f t="shared" si="9"/>
        <v>400000</v>
      </c>
      <c r="T14" s="189">
        <f>I14</f>
        <v>560000</v>
      </c>
      <c r="U14" s="190">
        <f>T14*R14</f>
        <v>2240000</v>
      </c>
      <c r="V14" s="191">
        <f>IF(AD14=1,U14*$U$2/R14+T14,T14)</f>
        <v>560000</v>
      </c>
      <c r="W14" s="192">
        <f>1-T14/V14</f>
        <v>0</v>
      </c>
      <c r="X14" s="193"/>
      <c r="Y14" s="194" t="str">
        <f t="shared" si="11"/>
        <v xml:space="preserve"> </v>
      </c>
      <c r="Z14" s="232">
        <v>3200</v>
      </c>
      <c r="AA14" s="189">
        <f t="shared" si="12"/>
        <v>3200</v>
      </c>
      <c r="AB14" s="190">
        <f t="shared" si="13"/>
        <v>560000</v>
      </c>
      <c r="AC14" s="190">
        <f t="shared" si="14"/>
        <v>1792000000</v>
      </c>
      <c r="AD14" s="196"/>
    </row>
    <row r="15" spans="1:30" ht="50.25" customHeight="1" x14ac:dyDescent="0.4">
      <c r="A15" s="233" t="s">
        <v>86</v>
      </c>
      <c r="B15" s="234" t="s">
        <v>87</v>
      </c>
      <c r="C15" s="235"/>
      <c r="D15" s="235"/>
      <c r="E15" s="235"/>
      <c r="F15" s="236">
        <f>SUBTOTAL(9,F16:F22)</f>
        <v>58670980</v>
      </c>
      <c r="G15" s="235"/>
      <c r="H15" s="237">
        <f>K15/F15</f>
        <v>0.80619106754310221</v>
      </c>
      <c r="I15" s="235"/>
      <c r="J15" s="238">
        <f>SUBTOTAL(9,J16:J22)</f>
        <v>105971000</v>
      </c>
      <c r="K15" s="238">
        <f>SUBTOTAL(9,K16:K22)</f>
        <v>47300020</v>
      </c>
      <c r="L15" s="239"/>
      <c r="M15" s="147"/>
      <c r="N15" s="148"/>
      <c r="O15" s="147"/>
      <c r="P15" s="148"/>
      <c r="Q15" s="149"/>
      <c r="R15" s="149"/>
      <c r="S15" s="149"/>
      <c r="T15" s="149"/>
      <c r="U15" s="149"/>
      <c r="V15" s="149"/>
      <c r="W15" s="149"/>
      <c r="X15" s="149"/>
      <c r="Y15" s="149"/>
      <c r="Z15" s="149"/>
      <c r="AA15" s="149"/>
      <c r="AB15" s="149"/>
      <c r="AC15" s="149"/>
      <c r="AD15" s="149"/>
    </row>
    <row r="16" spans="1:30" s="10" customFormat="1" ht="50.25" customHeight="1" outlineLevel="1" x14ac:dyDescent="0.25">
      <c r="A16" s="240">
        <v>1</v>
      </c>
      <c r="B16" s="241" t="s">
        <v>139</v>
      </c>
      <c r="C16" s="199" t="s">
        <v>4</v>
      </c>
      <c r="D16" s="242">
        <v>400</v>
      </c>
      <c r="E16" s="243">
        <v>2300</v>
      </c>
      <c r="F16" s="243">
        <f t="shared" ref="F16:F22" si="15">E16*D16</f>
        <v>920000</v>
      </c>
      <c r="G16" s="244"/>
      <c r="H16" s="245">
        <v>1.4</v>
      </c>
      <c r="I16" s="246">
        <f>ROUNDUP((E16+G16+E16*H16),-2)</f>
        <v>5600</v>
      </c>
      <c r="J16" s="247">
        <f t="shared" ref="J16:J22" si="16">I16*D16</f>
        <v>2240000</v>
      </c>
      <c r="K16" s="247">
        <f t="shared" ref="K16:K22" si="17">J16-F16</f>
        <v>1320000</v>
      </c>
      <c r="L16" s="248"/>
      <c r="M16" s="186"/>
      <c r="N16" s="187"/>
      <c r="O16" s="186"/>
      <c r="P16" s="215">
        <f>O16/E16</f>
        <v>0</v>
      </c>
      <c r="Q16" s="212"/>
      <c r="R16" s="188">
        <f t="shared" ref="R16:S21" si="18">D16</f>
        <v>400</v>
      </c>
      <c r="S16" s="189">
        <f t="shared" si="18"/>
        <v>2300</v>
      </c>
      <c r="T16" s="189">
        <f>I16</f>
        <v>5600</v>
      </c>
      <c r="U16" s="190">
        <f>T16*R16</f>
        <v>2240000</v>
      </c>
      <c r="V16" s="191" t="e">
        <f>IF(AD16=1,U16*$U$2/R16+T16,T16)</f>
        <v>#DIV/0!</v>
      </c>
      <c r="W16" s="192" t="e">
        <f>1-T16/V16</f>
        <v>#DIV/0!</v>
      </c>
      <c r="X16" s="193">
        <v>34000</v>
      </c>
      <c r="Y16" s="194">
        <f>IF(X16&lt;&gt;0,1-T16/X16," ")</f>
        <v>0.83529411764705885</v>
      </c>
      <c r="Z16" s="195"/>
      <c r="AA16" s="189">
        <f t="shared" ref="AA16:AA22" si="19">IF(Z16&lt;&gt;0,Z16,R16)</f>
        <v>400</v>
      </c>
      <c r="AB16" s="190">
        <f>IF(X16&lt;&gt;0, X16,V16)</f>
        <v>34000</v>
      </c>
      <c r="AC16" s="190">
        <f>AA16*AB16</f>
        <v>13600000</v>
      </c>
      <c r="AD16" s="196">
        <v>1</v>
      </c>
    </row>
    <row r="17" spans="1:30" s="10" customFormat="1" ht="50.25" customHeight="1" outlineLevel="1" x14ac:dyDescent="0.25">
      <c r="A17" s="197">
        <v>2</v>
      </c>
      <c r="B17" s="208" t="s">
        <v>140</v>
      </c>
      <c r="C17" s="199" t="s">
        <v>4</v>
      </c>
      <c r="D17" s="615">
        <f>7300+360</f>
        <v>7660</v>
      </c>
      <c r="E17" s="201">
        <v>5803</v>
      </c>
      <c r="F17" s="201">
        <f t="shared" si="15"/>
        <v>44450980</v>
      </c>
      <c r="G17" s="202"/>
      <c r="H17" s="203">
        <v>0.88</v>
      </c>
      <c r="I17" s="183">
        <f>ROUNDUP((E17+G17+E17*H17),-2)</f>
        <v>11000</v>
      </c>
      <c r="J17" s="204">
        <f t="shared" si="16"/>
        <v>84260000</v>
      </c>
      <c r="K17" s="204">
        <f t="shared" si="17"/>
        <v>39809020</v>
      </c>
      <c r="L17" s="205"/>
      <c r="M17" s="186"/>
      <c r="N17" s="187"/>
      <c r="O17" s="186"/>
      <c r="P17" s="187"/>
      <c r="Q17" s="212"/>
      <c r="R17" s="188">
        <f t="shared" si="18"/>
        <v>7660</v>
      </c>
      <c r="S17" s="189">
        <f t="shared" si="18"/>
        <v>5803</v>
      </c>
      <c r="T17" s="189">
        <f>I17</f>
        <v>11000</v>
      </c>
      <c r="U17" s="190">
        <f>T17*R17</f>
        <v>84260000</v>
      </c>
      <c r="V17" s="191">
        <f>IF(AD17=1,U17*$U$2/R17+T17,T17)</f>
        <v>11000</v>
      </c>
      <c r="W17" s="192">
        <f>1-T17/V17</f>
        <v>0</v>
      </c>
      <c r="X17" s="193">
        <v>1050000</v>
      </c>
      <c r="Y17" s="194">
        <f>IF(X17&lt;&gt;0,1-T17/X17," ")</f>
        <v>0.98952380952380947</v>
      </c>
      <c r="Z17" s="195"/>
      <c r="AA17" s="189">
        <f t="shared" si="19"/>
        <v>7660</v>
      </c>
      <c r="AB17" s="190">
        <f>IF(X17&lt;&gt;0, X17,V17)</f>
        <v>1050000</v>
      </c>
      <c r="AC17" s="190">
        <f>AA17*AB17</f>
        <v>8043000000</v>
      </c>
      <c r="AD17" s="196"/>
    </row>
    <row r="18" spans="1:30" s="13" customFormat="1" ht="50.25" customHeight="1" outlineLevel="1" x14ac:dyDescent="0.25">
      <c r="A18" s="199">
        <v>3</v>
      </c>
      <c r="B18" s="208" t="s">
        <v>52</v>
      </c>
      <c r="C18" s="199" t="s">
        <v>7</v>
      </c>
      <c r="D18" s="200">
        <v>4</v>
      </c>
      <c r="E18" s="201">
        <v>600000</v>
      </c>
      <c r="F18" s="201">
        <f t="shared" si="15"/>
        <v>2400000</v>
      </c>
      <c r="G18" s="214"/>
      <c r="H18" s="203">
        <v>0.8</v>
      </c>
      <c r="I18" s="183">
        <f>ROUNDUP((E18+G18+E18*H18),-3)</f>
        <v>1080000</v>
      </c>
      <c r="J18" s="204">
        <f t="shared" si="16"/>
        <v>4320000</v>
      </c>
      <c r="K18" s="204">
        <f t="shared" si="17"/>
        <v>1920000</v>
      </c>
      <c r="L18" s="209"/>
      <c r="M18" s="249"/>
      <c r="N18" s="215"/>
      <c r="O18" s="210">
        <f>M18*(1-N18)</f>
        <v>0</v>
      </c>
      <c r="P18" s="215">
        <f>O18/E18</f>
        <v>0</v>
      </c>
      <c r="Q18" s="216"/>
      <c r="R18" s="188">
        <f t="shared" si="18"/>
        <v>4</v>
      </c>
      <c r="S18" s="189">
        <f t="shared" si="18"/>
        <v>600000</v>
      </c>
      <c r="T18" s="189">
        <f>I18</f>
        <v>1080000</v>
      </c>
      <c r="U18" s="190">
        <f>T18*R18</f>
        <v>4320000</v>
      </c>
      <c r="V18" s="191" t="e">
        <f>IF(AD18=1,U18*$U$2/R18+T18,T18)</f>
        <v>#DIV/0!</v>
      </c>
      <c r="W18" s="192" t="e">
        <f>1-T18/V18</f>
        <v>#DIV/0!</v>
      </c>
      <c r="X18" s="193"/>
      <c r="Y18" s="194" t="str">
        <f>IF(X18&lt;&gt;0,1-T18/X18," ")</f>
        <v xml:space="preserve"> </v>
      </c>
      <c r="Z18" s="195"/>
      <c r="AA18" s="189">
        <f t="shared" si="19"/>
        <v>4</v>
      </c>
      <c r="AB18" s="190" t="e">
        <f>IF(X18&lt;&gt;0, X18,V18)</f>
        <v>#DIV/0!</v>
      </c>
      <c r="AC18" s="190" t="e">
        <f>AA18*AB18</f>
        <v>#DIV/0!</v>
      </c>
      <c r="AD18" s="217">
        <v>1</v>
      </c>
    </row>
    <row r="19" spans="1:30" s="10" customFormat="1" ht="50.25" customHeight="1" outlineLevel="1" x14ac:dyDescent="0.25">
      <c r="A19" s="199">
        <v>4</v>
      </c>
      <c r="B19" s="208" t="s">
        <v>80</v>
      </c>
      <c r="C19" s="199" t="s">
        <v>3</v>
      </c>
      <c r="D19" s="200">
        <v>2</v>
      </c>
      <c r="E19" s="201">
        <v>750000</v>
      </c>
      <c r="F19" s="201">
        <f t="shared" si="15"/>
        <v>1500000</v>
      </c>
      <c r="G19" s="202"/>
      <c r="H19" s="203">
        <v>0.4</v>
      </c>
      <c r="I19" s="183">
        <f>ROUNDUP((E19+G19+E19*H19),-3)</f>
        <v>1050000</v>
      </c>
      <c r="J19" s="204">
        <f t="shared" si="16"/>
        <v>2100000</v>
      </c>
      <c r="K19" s="204">
        <f t="shared" si="17"/>
        <v>600000</v>
      </c>
      <c r="L19" s="205"/>
      <c r="M19" s="186">
        <v>2300000</v>
      </c>
      <c r="N19" s="187">
        <v>0.25</v>
      </c>
      <c r="O19" s="210">
        <f>M19*(1-N19)</f>
        <v>1725000</v>
      </c>
      <c r="P19" s="215">
        <f t="shared" si="8"/>
        <v>2.2999999999999998</v>
      </c>
      <c r="Q19" s="212"/>
      <c r="R19" s="188">
        <f t="shared" si="18"/>
        <v>2</v>
      </c>
      <c r="S19" s="189">
        <f t="shared" si="18"/>
        <v>750000</v>
      </c>
      <c r="T19" s="189">
        <f t="shared" si="4"/>
        <v>1050000</v>
      </c>
      <c r="U19" s="190">
        <f t="shared" si="5"/>
        <v>2100000</v>
      </c>
      <c r="V19" s="191" t="e">
        <f t="shared" si="6"/>
        <v>#DIV/0!</v>
      </c>
      <c r="W19" s="192" t="e">
        <f t="shared" si="10"/>
        <v>#DIV/0!</v>
      </c>
      <c r="X19" s="193">
        <v>2590000</v>
      </c>
      <c r="Y19" s="194">
        <f>IF(X19&lt;&gt;0,1-T19/X19," ")</f>
        <v>0.59459459459459452</v>
      </c>
      <c r="Z19" s="195"/>
      <c r="AA19" s="189">
        <f t="shared" si="19"/>
        <v>2</v>
      </c>
      <c r="AB19" s="190">
        <f>IF(X19&lt;&gt;0, X19,V19)</f>
        <v>2590000</v>
      </c>
      <c r="AC19" s="190">
        <f>AA19*AB19</f>
        <v>5180000</v>
      </c>
      <c r="AD19" s="196">
        <v>1</v>
      </c>
    </row>
    <row r="20" spans="1:30" s="10" customFormat="1" ht="50.25" customHeight="1" outlineLevel="1" x14ac:dyDescent="0.25">
      <c r="A20" s="199">
        <v>5</v>
      </c>
      <c r="B20" s="208" t="s">
        <v>76</v>
      </c>
      <c r="C20" s="199" t="s">
        <v>3</v>
      </c>
      <c r="D20" s="200">
        <v>2</v>
      </c>
      <c r="E20" s="201">
        <v>1400000</v>
      </c>
      <c r="F20" s="201">
        <f t="shared" si="15"/>
        <v>2800000</v>
      </c>
      <c r="G20" s="202"/>
      <c r="H20" s="203">
        <v>0.36</v>
      </c>
      <c r="I20" s="183">
        <f>ROUNDUP((E20+G20+E20*H20),-3)</f>
        <v>1904000</v>
      </c>
      <c r="J20" s="204">
        <f t="shared" si="16"/>
        <v>3808000</v>
      </c>
      <c r="K20" s="204">
        <f t="shared" si="17"/>
        <v>1008000</v>
      </c>
      <c r="L20" s="205"/>
      <c r="M20" s="186">
        <v>2300000</v>
      </c>
      <c r="N20" s="187">
        <v>0.25</v>
      </c>
      <c r="O20" s="210">
        <f>M20*(1-N20)</f>
        <v>1725000</v>
      </c>
      <c r="P20" s="215">
        <f t="shared" si="8"/>
        <v>1.2321428571428572</v>
      </c>
      <c r="Q20" s="212"/>
      <c r="R20" s="188">
        <f t="shared" si="18"/>
        <v>2</v>
      </c>
      <c r="S20" s="189">
        <f t="shared" si="18"/>
        <v>1400000</v>
      </c>
      <c r="T20" s="189">
        <f>I20</f>
        <v>1904000</v>
      </c>
      <c r="U20" s="190">
        <f>T20*R20</f>
        <v>3808000</v>
      </c>
      <c r="V20" s="191" t="e">
        <f>IF(AD20=1,U20*$U$2/R20+T20,T20)</f>
        <v>#DIV/0!</v>
      </c>
      <c r="W20" s="192" t="e">
        <f>1-T20/V20</f>
        <v>#DIV/0!</v>
      </c>
      <c r="X20" s="193">
        <v>2590000</v>
      </c>
      <c r="Y20" s="194">
        <f>IF(X20&lt;&gt;0,1-T20/X20," ")</f>
        <v>0.26486486486486482</v>
      </c>
      <c r="Z20" s="195"/>
      <c r="AA20" s="189">
        <f t="shared" si="19"/>
        <v>2</v>
      </c>
      <c r="AB20" s="190">
        <f>IF(X20&lt;&gt;0, X20,V20)</f>
        <v>2590000</v>
      </c>
      <c r="AC20" s="190">
        <f>AA20*AB20</f>
        <v>5180000</v>
      </c>
      <c r="AD20" s="196">
        <v>1</v>
      </c>
    </row>
    <row r="21" spans="1:30" s="10" customFormat="1" ht="50.25" customHeight="1" outlineLevel="1" x14ac:dyDescent="0.25">
      <c r="A21" s="199">
        <v>6</v>
      </c>
      <c r="B21" s="208" t="s">
        <v>81</v>
      </c>
      <c r="C21" s="199" t="s">
        <v>3</v>
      </c>
      <c r="D21" s="200">
        <v>1</v>
      </c>
      <c r="E21" s="201">
        <v>6300000</v>
      </c>
      <c r="F21" s="201">
        <f t="shared" si="15"/>
        <v>6300000</v>
      </c>
      <c r="G21" s="202"/>
      <c r="H21" s="203">
        <v>0.36</v>
      </c>
      <c r="I21" s="183">
        <f>ROUNDUP((E21+G21+E21*H21),-3)</f>
        <v>8568000</v>
      </c>
      <c r="J21" s="204">
        <f t="shared" si="16"/>
        <v>8568000</v>
      </c>
      <c r="K21" s="204">
        <f t="shared" si="17"/>
        <v>2268000</v>
      </c>
      <c r="L21" s="205"/>
      <c r="M21" s="186">
        <f>I21/32</f>
        <v>267750</v>
      </c>
      <c r="N21" s="187"/>
      <c r="O21" s="210"/>
      <c r="P21" s="215"/>
      <c r="Q21" s="212"/>
      <c r="R21" s="188">
        <f t="shared" si="18"/>
        <v>1</v>
      </c>
      <c r="S21" s="189">
        <f t="shared" si="18"/>
        <v>6300000</v>
      </c>
      <c r="T21" s="189"/>
      <c r="U21" s="190"/>
      <c r="V21" s="191"/>
      <c r="W21" s="192"/>
      <c r="X21" s="193"/>
      <c r="Y21" s="194"/>
      <c r="Z21" s="195"/>
      <c r="AA21" s="189">
        <f t="shared" si="19"/>
        <v>1</v>
      </c>
      <c r="AB21" s="190"/>
      <c r="AC21" s="190"/>
      <c r="AD21" s="196"/>
    </row>
    <row r="22" spans="1:30" s="10" customFormat="1" ht="50.25" customHeight="1" outlineLevel="1" x14ac:dyDescent="0.25">
      <c r="A22" s="223">
        <v>7</v>
      </c>
      <c r="B22" s="250" t="s">
        <v>83</v>
      </c>
      <c r="C22" s="251" t="s">
        <v>3</v>
      </c>
      <c r="D22" s="226">
        <v>1</v>
      </c>
      <c r="E22" s="227">
        <v>300000</v>
      </c>
      <c r="F22" s="227">
        <f t="shared" si="15"/>
        <v>300000</v>
      </c>
      <c r="G22" s="228"/>
      <c r="H22" s="220">
        <v>1.25</v>
      </c>
      <c r="I22" s="252">
        <f>ROUNDUP((E22+G22+E22*H22),-3)</f>
        <v>675000</v>
      </c>
      <c r="J22" s="229">
        <f t="shared" si="16"/>
        <v>675000</v>
      </c>
      <c r="K22" s="229">
        <f t="shared" si="17"/>
        <v>375000</v>
      </c>
      <c r="L22" s="253"/>
      <c r="M22" s="254"/>
      <c r="N22" s="187"/>
      <c r="O22" s="186"/>
      <c r="P22" s="187"/>
      <c r="Q22" s="212"/>
      <c r="R22" s="188">
        <f>D22</f>
        <v>1</v>
      </c>
      <c r="S22" s="189"/>
      <c r="T22" s="189"/>
      <c r="U22" s="190"/>
      <c r="V22" s="191"/>
      <c r="W22" s="192"/>
      <c r="X22" s="193"/>
      <c r="Y22" s="194"/>
      <c r="Z22" s="195"/>
      <c r="AA22" s="189">
        <f t="shared" si="19"/>
        <v>1</v>
      </c>
      <c r="AB22" s="190"/>
      <c r="AC22" s="190"/>
      <c r="AD22" s="196"/>
    </row>
    <row r="23" spans="1:30" s="15" customFormat="1" ht="41.25" customHeight="1" x14ac:dyDescent="0.25">
      <c r="A23" s="255" t="s">
        <v>172</v>
      </c>
      <c r="B23" s="256" t="s">
        <v>173</v>
      </c>
      <c r="C23" s="257"/>
      <c r="D23" s="258"/>
      <c r="E23" s="259"/>
      <c r="F23" s="238">
        <f>SUBTOTAL(9,F24:F25)</f>
        <v>6456000</v>
      </c>
      <c r="G23" s="260"/>
      <c r="H23" s="261">
        <f>K23/SUM(F23:F23)</f>
        <v>0.19749070631970261</v>
      </c>
      <c r="I23" s="262"/>
      <c r="J23" s="238">
        <f>SUBTOTAL(9,J24:J25)</f>
        <v>7731000</v>
      </c>
      <c r="K23" s="238">
        <f>SUBTOTAL(9,K24:K25)</f>
        <v>1275000</v>
      </c>
      <c r="L23" s="263"/>
      <c r="M23" s="264"/>
      <c r="N23" s="265"/>
      <c r="O23" s="266"/>
      <c r="P23" s="267"/>
      <c r="Q23" s="268"/>
      <c r="R23" s="269"/>
      <c r="S23" s="269"/>
      <c r="T23" s="270"/>
      <c r="U23" s="271"/>
      <c r="V23" s="272"/>
      <c r="W23" s="273"/>
      <c r="X23" s="274"/>
      <c r="Y23" s="275"/>
      <c r="Z23" s="269"/>
      <c r="AA23" s="270"/>
      <c r="AB23" s="270"/>
      <c r="AC23" s="275"/>
      <c r="AD23" s="267"/>
    </row>
    <row r="24" spans="1:30" s="14" customFormat="1" ht="41.25" customHeight="1" outlineLevel="1" x14ac:dyDescent="0.25">
      <c r="A24" s="240">
        <v>1</v>
      </c>
      <c r="B24" s="241" t="s">
        <v>141</v>
      </c>
      <c r="C24" s="276" t="s">
        <v>4</v>
      </c>
      <c r="D24" s="242">
        <v>150</v>
      </c>
      <c r="E24" s="277">
        <v>24500</v>
      </c>
      <c r="F24" s="277">
        <f>E24*D24</f>
        <v>3675000</v>
      </c>
      <c r="G24" s="278"/>
      <c r="H24" s="279">
        <v>0.08</v>
      </c>
      <c r="I24" s="246">
        <f>ROUNDUP((E24+G24+E24*H24),-2)</f>
        <v>26500</v>
      </c>
      <c r="J24" s="280">
        <f>I24*D24</f>
        <v>3975000</v>
      </c>
      <c r="K24" s="280">
        <f>J24-F24</f>
        <v>300000</v>
      </c>
      <c r="L24" s="281"/>
      <c r="M24" s="186">
        <f>2800/305</f>
        <v>9.1803278688524586</v>
      </c>
      <c r="N24" s="187"/>
      <c r="O24" s="186"/>
      <c r="P24" s="187"/>
      <c r="Q24" s="212"/>
      <c r="R24" s="188">
        <f>D24</f>
        <v>150</v>
      </c>
      <c r="S24" s="189">
        <f>E24</f>
        <v>24500</v>
      </c>
      <c r="T24" s="189">
        <f>I24</f>
        <v>26500</v>
      </c>
      <c r="U24" s="190">
        <f>T24*R24</f>
        <v>3975000</v>
      </c>
      <c r="V24" s="191" t="e">
        <f>IF(AD24=1,U24*$U$2/R24+T24,T24)</f>
        <v>#DIV/0!</v>
      </c>
      <c r="W24" s="192" t="e">
        <f>1-T24/V24</f>
        <v>#DIV/0!</v>
      </c>
      <c r="X24" s="193">
        <v>5000</v>
      </c>
      <c r="Y24" s="194">
        <f>IF(X24&lt;&gt;0,1-T24/X24," ")</f>
        <v>-4.3</v>
      </c>
      <c r="Z24" s="222">
        <v>1350</v>
      </c>
      <c r="AA24" s="189">
        <f t="shared" ref="AA24:AA29" si="20">IF(Z24&lt;&gt;0,Z24,R24)</f>
        <v>1350</v>
      </c>
      <c r="AB24" s="190">
        <f>IF(X24&lt;&gt;0, X24,V24)</f>
        <v>5000</v>
      </c>
      <c r="AC24" s="190">
        <f>AA24*AB24</f>
        <v>6750000</v>
      </c>
      <c r="AD24" s="196">
        <v>1</v>
      </c>
    </row>
    <row r="25" spans="1:30" s="14" customFormat="1" ht="63.75" customHeight="1" outlineLevel="1" x14ac:dyDescent="0.25">
      <c r="A25" s="323">
        <v>2</v>
      </c>
      <c r="B25" s="455" t="s">
        <v>142</v>
      </c>
      <c r="C25" s="323" t="s">
        <v>3</v>
      </c>
      <c r="D25" s="456">
        <v>3</v>
      </c>
      <c r="E25" s="594">
        <v>927000</v>
      </c>
      <c r="F25" s="457">
        <f>E25*D25</f>
        <v>2781000</v>
      </c>
      <c r="G25" s="339"/>
      <c r="H25" s="458">
        <v>0.35</v>
      </c>
      <c r="I25" s="309">
        <f>ROUNDUP((E25+G25+E25*H25),-3)</f>
        <v>1252000</v>
      </c>
      <c r="J25" s="338">
        <f>I25*D25</f>
        <v>3756000</v>
      </c>
      <c r="K25" s="338">
        <f>J25-F25</f>
        <v>975000</v>
      </c>
      <c r="L25" s="459"/>
      <c r="M25" s="186"/>
      <c r="N25" s="187"/>
      <c r="O25" s="186"/>
      <c r="P25" s="187"/>
      <c r="Q25" s="212"/>
      <c r="R25" s="188">
        <f>D25</f>
        <v>3</v>
      </c>
      <c r="S25" s="189">
        <f>E25</f>
        <v>927000</v>
      </c>
      <c r="T25" s="189">
        <f>I25</f>
        <v>1252000</v>
      </c>
      <c r="U25" s="190">
        <f>T25*R25</f>
        <v>3756000</v>
      </c>
      <c r="V25" s="191">
        <f>IF(AD25=1,U25*$U$2/R25+T25,T25)</f>
        <v>1252000</v>
      </c>
      <c r="W25" s="192">
        <f>1-T25/V25</f>
        <v>0</v>
      </c>
      <c r="X25" s="193"/>
      <c r="Y25" s="194" t="str">
        <f>IF(X25&lt;&gt;0,1-T25/X25," ")</f>
        <v xml:space="preserve"> </v>
      </c>
      <c r="Z25" s="195"/>
      <c r="AA25" s="189">
        <f t="shared" si="20"/>
        <v>3</v>
      </c>
      <c r="AB25" s="190">
        <f>IF(X25&lt;&gt;0, X25,V25)</f>
        <v>1252000</v>
      </c>
      <c r="AC25" s="190">
        <f>AA25*AB25</f>
        <v>3756000</v>
      </c>
      <c r="AD25" s="196"/>
    </row>
    <row r="26" spans="1:30" s="13" customFormat="1" ht="45.75" customHeight="1" x14ac:dyDescent="0.25">
      <c r="A26" s="283" t="s">
        <v>174</v>
      </c>
      <c r="B26" s="256" t="s">
        <v>175</v>
      </c>
      <c r="C26" s="284"/>
      <c r="D26" s="284"/>
      <c r="E26" s="285"/>
      <c r="F26" s="286">
        <f>SUBTOTAL(9,F27:F29)</f>
        <v>23408000</v>
      </c>
      <c r="G26" s="287"/>
      <c r="H26" s="288">
        <f>K26/SUM(F26:F26)</f>
        <v>0.22851161995898839</v>
      </c>
      <c r="I26" s="289"/>
      <c r="J26" s="286">
        <f>SUBTOTAL(9,J27:J29)</f>
        <v>28757000</v>
      </c>
      <c r="K26" s="286">
        <f>SUBTOTAL(9,K27:K29)</f>
        <v>5349000</v>
      </c>
      <c r="L26" s="290"/>
      <c r="M26" s="210"/>
      <c r="N26" s="215" t="e">
        <f>#REF!+#REF!</f>
        <v>#REF!</v>
      </c>
      <c r="O26" s="210"/>
      <c r="P26" s="215"/>
      <c r="Q26" s="216"/>
      <c r="R26" s="188">
        <f>D26</f>
        <v>0</v>
      </c>
      <c r="S26" s="189"/>
      <c r="T26" s="189"/>
      <c r="U26" s="190">
        <f>T26*R26</f>
        <v>0</v>
      </c>
      <c r="V26" s="191">
        <f>IF(AD26=1,U26*$U$2/R26+T26,T26)</f>
        <v>0</v>
      </c>
      <c r="W26" s="192"/>
      <c r="X26" s="193"/>
      <c r="Y26" s="194" t="str">
        <f>IF(X26&lt;&gt;0,1-T26/X26," ")</f>
        <v xml:space="preserve"> </v>
      </c>
      <c r="Z26" s="217"/>
      <c r="AA26" s="189">
        <f t="shared" si="20"/>
        <v>0</v>
      </c>
      <c r="AB26" s="190">
        <f>IF(X26&lt;&gt;0, X26,V26)</f>
        <v>0</v>
      </c>
      <c r="AC26" s="190">
        <f>AA26*AB26</f>
        <v>0</v>
      </c>
      <c r="AD26" s="217"/>
    </row>
    <row r="27" spans="1:30" s="10" customFormat="1" ht="45.75" customHeight="1" x14ac:dyDescent="0.25">
      <c r="A27" s="291">
        <v>1</v>
      </c>
      <c r="B27" s="292" t="s">
        <v>90</v>
      </c>
      <c r="C27" s="178" t="s">
        <v>7</v>
      </c>
      <c r="D27" s="179">
        <v>2</v>
      </c>
      <c r="E27" s="293">
        <v>5607000</v>
      </c>
      <c r="F27" s="293">
        <f>E27*D27</f>
        <v>11214000</v>
      </c>
      <c r="G27" s="294"/>
      <c r="H27" s="295">
        <v>0.24</v>
      </c>
      <c r="I27" s="296">
        <f>ROUNDUP((E27+G27+E27*H27),-3)</f>
        <v>6953000</v>
      </c>
      <c r="J27" s="297">
        <f>I27*D27</f>
        <v>13906000</v>
      </c>
      <c r="K27" s="297">
        <f>J27-F27</f>
        <v>2692000</v>
      </c>
      <c r="L27" s="298"/>
      <c r="M27" s="186"/>
      <c r="N27" s="187"/>
      <c r="O27" s="186"/>
      <c r="P27" s="187"/>
      <c r="Q27" s="212"/>
      <c r="R27" s="188">
        <f>D27</f>
        <v>2</v>
      </c>
      <c r="S27" s="189">
        <f>E27</f>
        <v>5607000</v>
      </c>
      <c r="T27" s="189">
        <f>I27</f>
        <v>6953000</v>
      </c>
      <c r="U27" s="190">
        <f>T27*R27</f>
        <v>13906000</v>
      </c>
      <c r="V27" s="191" t="e">
        <f>IF(AD27=1,U27*$U$2/R27+T27,T27)</f>
        <v>#DIV/0!</v>
      </c>
      <c r="W27" s="192" t="e">
        <f>1-T27/V27</f>
        <v>#DIV/0!</v>
      </c>
      <c r="X27" s="193">
        <v>7120000</v>
      </c>
      <c r="Y27" s="194">
        <f>IF(X27&lt;&gt;0,1-T27/X27," ")</f>
        <v>2.345505617977528E-2</v>
      </c>
      <c r="Z27" s="196"/>
      <c r="AA27" s="189">
        <f t="shared" si="20"/>
        <v>2</v>
      </c>
      <c r="AB27" s="190">
        <f>IF(X27&lt;&gt;0, X27,V27)</f>
        <v>7120000</v>
      </c>
      <c r="AC27" s="190">
        <f>AA27*AB27</f>
        <v>14240000</v>
      </c>
      <c r="AD27" s="196">
        <v>1</v>
      </c>
    </row>
    <row r="28" spans="1:30" s="10" customFormat="1" ht="45.75" customHeight="1" x14ac:dyDescent="0.25">
      <c r="A28" s="299">
        <v>2</v>
      </c>
      <c r="B28" s="198" t="s">
        <v>84</v>
      </c>
      <c r="C28" s="199" t="s">
        <v>7</v>
      </c>
      <c r="D28" s="200">
        <v>2</v>
      </c>
      <c r="E28" s="293">
        <v>2170000</v>
      </c>
      <c r="F28" s="300">
        <f>E28*D28</f>
        <v>4340000</v>
      </c>
      <c r="G28" s="214"/>
      <c r="H28" s="295">
        <v>0.25</v>
      </c>
      <c r="I28" s="183">
        <f>ROUNDUP((E28+G28+E28*H28),-3)</f>
        <v>2713000</v>
      </c>
      <c r="J28" s="301">
        <f>I28*D28</f>
        <v>5426000</v>
      </c>
      <c r="K28" s="301">
        <f>J28-F28</f>
        <v>1086000</v>
      </c>
      <c r="L28" s="302"/>
      <c r="M28" s="186"/>
      <c r="N28" s="187"/>
      <c r="O28" s="186"/>
      <c r="P28" s="187"/>
      <c r="Q28" s="212"/>
      <c r="R28" s="188">
        <f>D28</f>
        <v>2</v>
      </c>
      <c r="S28" s="189"/>
      <c r="T28" s="189"/>
      <c r="U28" s="190"/>
      <c r="V28" s="191"/>
      <c r="W28" s="192"/>
      <c r="X28" s="193"/>
      <c r="Y28" s="194"/>
      <c r="Z28" s="196"/>
      <c r="AA28" s="189">
        <f t="shared" si="20"/>
        <v>2</v>
      </c>
      <c r="AB28" s="190"/>
      <c r="AC28" s="190"/>
      <c r="AD28" s="196"/>
    </row>
    <row r="29" spans="1:30" s="10" customFormat="1" ht="45.75" customHeight="1" x14ac:dyDescent="0.25">
      <c r="A29" s="303">
        <v>3</v>
      </c>
      <c r="B29" s="304" t="s">
        <v>85</v>
      </c>
      <c r="C29" s="305" t="s">
        <v>7</v>
      </c>
      <c r="D29" s="306">
        <v>1</v>
      </c>
      <c r="E29" s="293">
        <v>7854000</v>
      </c>
      <c r="F29" s="307">
        <f>E29*D29</f>
        <v>7854000</v>
      </c>
      <c r="G29" s="308"/>
      <c r="H29" s="295">
        <v>0.2</v>
      </c>
      <c r="I29" s="309">
        <f>ROUNDUP((E29+G29+E29*H29),-3)</f>
        <v>9425000</v>
      </c>
      <c r="J29" s="310">
        <f>I29*D29</f>
        <v>9425000</v>
      </c>
      <c r="K29" s="310">
        <f>J29-F29</f>
        <v>1571000</v>
      </c>
      <c r="L29" s="311"/>
      <c r="M29" s="186"/>
      <c r="N29" s="187"/>
      <c r="O29" s="186"/>
      <c r="P29" s="187"/>
      <c r="Q29" s="212"/>
      <c r="R29" s="188">
        <f>D29</f>
        <v>1</v>
      </c>
      <c r="S29" s="189"/>
      <c r="T29" s="189"/>
      <c r="U29" s="190"/>
      <c r="V29" s="191"/>
      <c r="W29" s="192"/>
      <c r="X29" s="193"/>
      <c r="Y29" s="194"/>
      <c r="Z29" s="196"/>
      <c r="AA29" s="189">
        <f t="shared" si="20"/>
        <v>1</v>
      </c>
      <c r="AB29" s="190"/>
      <c r="AC29" s="190"/>
      <c r="AD29" s="196"/>
    </row>
    <row r="30" spans="1:30" s="16" customFormat="1" ht="45.75" customHeight="1" x14ac:dyDescent="0.25">
      <c r="A30" s="312" t="s">
        <v>88</v>
      </c>
      <c r="B30" s="312"/>
      <c r="C30" s="313"/>
      <c r="D30" s="313"/>
      <c r="E30" s="313"/>
      <c r="F30" s="236">
        <f>SUBTOTAL(9,F31:F35)</f>
        <v>22682000</v>
      </c>
      <c r="G30" s="313"/>
      <c r="H30" s="314">
        <f>K30/SUM(F30:F30)</f>
        <v>0.46353937042588839</v>
      </c>
      <c r="I30" s="313"/>
      <c r="J30" s="236">
        <f>SUBTOTAL(9,J31:J35)</f>
        <v>33196000</v>
      </c>
      <c r="K30" s="236">
        <f>SUBTOTAL(9,K31:K35)</f>
        <v>10514000</v>
      </c>
      <c r="L30" s="315"/>
      <c r="M30" s="316"/>
      <c r="N30" s="317"/>
      <c r="O30" s="318"/>
      <c r="P30" s="317"/>
      <c r="Q30" s="319"/>
      <c r="R30" s="319"/>
      <c r="S30" s="319"/>
      <c r="T30" s="319"/>
      <c r="U30" s="319"/>
      <c r="V30" s="319"/>
      <c r="W30" s="319"/>
      <c r="X30" s="319"/>
      <c r="Y30" s="319"/>
      <c r="Z30" s="319"/>
      <c r="AA30" s="319"/>
      <c r="AB30" s="319"/>
      <c r="AC30" s="319"/>
      <c r="AD30" s="319"/>
    </row>
    <row r="31" spans="1:30" s="10" customFormat="1" ht="45.75" customHeight="1" outlineLevel="1" x14ac:dyDescent="0.25">
      <c r="A31" s="197">
        <v>1</v>
      </c>
      <c r="B31" s="208" t="s">
        <v>143</v>
      </c>
      <c r="C31" s="299" t="s">
        <v>6</v>
      </c>
      <c r="D31" s="200">
        <v>1</v>
      </c>
      <c r="E31" s="300">
        <v>15000000</v>
      </c>
      <c r="F31" s="300">
        <f>E31*D31</f>
        <v>15000000</v>
      </c>
      <c r="G31" s="320"/>
      <c r="H31" s="321">
        <v>0.4</v>
      </c>
      <c r="I31" s="183">
        <f t="shared" ref="I31:I36" si="21">ROUNDUP((E31+G31+E31*H31),-3)</f>
        <v>21000000</v>
      </c>
      <c r="J31" s="301">
        <f t="shared" ref="J31:J36" si="22">I31*D31</f>
        <v>21000000</v>
      </c>
      <c r="K31" s="301">
        <f t="shared" ref="K31:K36" si="23">J31-F31</f>
        <v>6000000</v>
      </c>
      <c r="L31" s="300"/>
      <c r="M31" s="186"/>
      <c r="N31" s="187"/>
      <c r="O31" s="186"/>
      <c r="P31" s="187"/>
      <c r="Q31" s="212"/>
      <c r="R31" s="188">
        <f t="shared" ref="R31:S34" si="24">D31</f>
        <v>1</v>
      </c>
      <c r="S31" s="189">
        <f t="shared" si="24"/>
        <v>15000000</v>
      </c>
      <c r="T31" s="189">
        <f>I31</f>
        <v>21000000</v>
      </c>
      <c r="U31" s="190">
        <f>T31*R31</f>
        <v>21000000</v>
      </c>
      <c r="V31" s="191" t="e">
        <f>IF(AD31=1,U31*$U$2/R31+T31,T31)</f>
        <v>#DIV/0!</v>
      </c>
      <c r="W31" s="192" t="e">
        <f>1-T31/V31</f>
        <v>#DIV/0!</v>
      </c>
      <c r="X31" s="193">
        <v>19500</v>
      </c>
      <c r="Y31" s="194">
        <f>IF(X31&lt;&gt;0,1-T31/X31," ")</f>
        <v>-1075.9230769230769</v>
      </c>
      <c r="Z31" s="195"/>
      <c r="AA31" s="189">
        <f>IF(Z31&lt;&gt;0,Z31,R31)</f>
        <v>1</v>
      </c>
      <c r="AB31" s="190">
        <f>IF(X31&lt;&gt;0, X31,V31)</f>
        <v>19500</v>
      </c>
      <c r="AC31" s="190">
        <f>AA31*AB31</f>
        <v>19500</v>
      </c>
      <c r="AD31" s="196">
        <v>1</v>
      </c>
    </row>
    <row r="32" spans="1:30" s="10" customFormat="1" ht="45.75" customHeight="1" outlineLevel="1" x14ac:dyDescent="0.25">
      <c r="A32" s="197">
        <v>2</v>
      </c>
      <c r="B32" s="208" t="s">
        <v>144</v>
      </c>
      <c r="C32" s="199" t="s">
        <v>5</v>
      </c>
      <c r="D32" s="200">
        <v>8</v>
      </c>
      <c r="E32" s="201">
        <v>19000</v>
      </c>
      <c r="F32" s="201">
        <f>E32*D32</f>
        <v>152000</v>
      </c>
      <c r="G32" s="202"/>
      <c r="H32" s="203">
        <v>0.4</v>
      </c>
      <c r="I32" s="183">
        <f t="shared" si="21"/>
        <v>27000</v>
      </c>
      <c r="J32" s="204">
        <f t="shared" si="22"/>
        <v>216000</v>
      </c>
      <c r="K32" s="204">
        <f t="shared" si="23"/>
        <v>64000</v>
      </c>
      <c r="L32" s="205"/>
      <c r="M32" s="186"/>
      <c r="N32" s="187"/>
      <c r="O32" s="186"/>
      <c r="P32" s="187">
        <f>O32/E32</f>
        <v>0</v>
      </c>
      <c r="Q32" s="212"/>
      <c r="R32" s="188">
        <f t="shared" si="24"/>
        <v>8</v>
      </c>
      <c r="S32" s="189">
        <f t="shared" si="24"/>
        <v>19000</v>
      </c>
      <c r="T32" s="189">
        <f>I32</f>
        <v>27000</v>
      </c>
      <c r="U32" s="190">
        <f>T32*R32</f>
        <v>216000</v>
      </c>
      <c r="V32" s="191" t="e">
        <f>IF(AD32=1,U32*$U$2/R32+T32,T32)</f>
        <v>#DIV/0!</v>
      </c>
      <c r="W32" s="192" t="e">
        <f>1-T32/V32</f>
        <v>#DIV/0!</v>
      </c>
      <c r="X32" s="193">
        <v>160000</v>
      </c>
      <c r="Y32" s="194">
        <f>IF(X32&lt;&gt;0,1-T32/X32," ")</f>
        <v>0.83125000000000004</v>
      </c>
      <c r="Z32" s="196"/>
      <c r="AA32" s="189">
        <f>IF(Z32&lt;&gt;0,Z32,R32)</f>
        <v>8</v>
      </c>
      <c r="AB32" s="190">
        <f>IF(X32&lt;&gt;0, X32,V32)</f>
        <v>160000</v>
      </c>
      <c r="AC32" s="190">
        <f>AA32*AB32</f>
        <v>1280000</v>
      </c>
      <c r="AD32" s="196">
        <v>1</v>
      </c>
    </row>
    <row r="33" spans="1:30" s="10" customFormat="1" ht="45.75" customHeight="1" outlineLevel="1" x14ac:dyDescent="0.25">
      <c r="A33" s="197">
        <v>3</v>
      </c>
      <c r="B33" s="208" t="s">
        <v>145</v>
      </c>
      <c r="C33" s="299" t="s">
        <v>4</v>
      </c>
      <c r="D33" s="200">
        <v>1700</v>
      </c>
      <c r="E33" s="300">
        <f>150000/50</f>
        <v>3000</v>
      </c>
      <c r="F33" s="300">
        <f>E33*D33</f>
        <v>5100000</v>
      </c>
      <c r="G33" s="320"/>
      <c r="H33" s="321">
        <v>0.35</v>
      </c>
      <c r="I33" s="183">
        <f t="shared" si="21"/>
        <v>5000</v>
      </c>
      <c r="J33" s="301">
        <f t="shared" si="22"/>
        <v>8500000</v>
      </c>
      <c r="K33" s="301">
        <f t="shared" si="23"/>
        <v>3400000</v>
      </c>
      <c r="L33" s="322"/>
      <c r="M33" s="186"/>
      <c r="N33" s="187"/>
      <c r="O33" s="186"/>
      <c r="P33" s="187"/>
      <c r="Q33" s="212"/>
      <c r="R33" s="188">
        <f t="shared" si="24"/>
        <v>1700</v>
      </c>
      <c r="S33" s="189">
        <f t="shared" si="24"/>
        <v>3000</v>
      </c>
      <c r="T33" s="189">
        <f>I33</f>
        <v>5000</v>
      </c>
      <c r="U33" s="190">
        <f>T33*R33</f>
        <v>8500000</v>
      </c>
      <c r="V33" s="191" t="e">
        <f>IF(AD33=1,U33*$U$2/R33+T33,T33)</f>
        <v>#DIV/0!</v>
      </c>
      <c r="W33" s="192" t="e">
        <f>1-T33/V33</f>
        <v>#DIV/0!</v>
      </c>
      <c r="X33" s="193"/>
      <c r="Y33" s="194" t="str">
        <f>IF(X33&lt;&gt;0,1-T33/X33," ")</f>
        <v xml:space="preserve"> </v>
      </c>
      <c r="Z33" s="189"/>
      <c r="AA33" s="189">
        <f>IF(Z33&lt;&gt;0,Z33,R33)</f>
        <v>1700</v>
      </c>
      <c r="AB33" s="190" t="e">
        <f>IF(X33&lt;&gt;0, X33,V33)</f>
        <v>#DIV/0!</v>
      </c>
      <c r="AC33" s="190" t="e">
        <f>AA33*AB33</f>
        <v>#DIV/0!</v>
      </c>
      <c r="AD33" s="196">
        <v>1</v>
      </c>
    </row>
    <row r="34" spans="1:30" s="10" customFormat="1" ht="45.75" customHeight="1" outlineLevel="1" x14ac:dyDescent="0.25">
      <c r="A34" s="197">
        <v>4</v>
      </c>
      <c r="B34" s="208" t="s">
        <v>51</v>
      </c>
      <c r="C34" s="199" t="s">
        <v>3</v>
      </c>
      <c r="D34" s="200">
        <v>4</v>
      </c>
      <c r="E34" s="201">
        <v>30000</v>
      </c>
      <c r="F34" s="201">
        <f>E34*D34</f>
        <v>120000</v>
      </c>
      <c r="G34" s="202"/>
      <c r="H34" s="203">
        <v>0.5</v>
      </c>
      <c r="I34" s="183">
        <f t="shared" si="21"/>
        <v>45000</v>
      </c>
      <c r="J34" s="204">
        <f t="shared" si="22"/>
        <v>180000</v>
      </c>
      <c r="K34" s="204">
        <f t="shared" si="23"/>
        <v>60000</v>
      </c>
      <c r="L34" s="205"/>
      <c r="M34" s="254" t="s">
        <v>49</v>
      </c>
      <c r="N34" s="187"/>
      <c r="O34" s="186"/>
      <c r="P34" s="187"/>
      <c r="Q34" s="212"/>
      <c r="R34" s="188">
        <f t="shared" si="24"/>
        <v>4</v>
      </c>
      <c r="S34" s="189">
        <f t="shared" si="24"/>
        <v>30000</v>
      </c>
      <c r="T34" s="189">
        <f>I34</f>
        <v>45000</v>
      </c>
      <c r="U34" s="190">
        <f>T34*R34</f>
        <v>180000</v>
      </c>
      <c r="V34" s="191">
        <f>IF(AD34=1,U34*$U$2/R34+T34,T34)</f>
        <v>45000</v>
      </c>
      <c r="W34" s="192">
        <f>1-T34/V34</f>
        <v>0</v>
      </c>
      <c r="X34" s="193"/>
      <c r="Y34" s="194" t="str">
        <f>IF(X34&lt;&gt;0,1-T34/X34," ")</f>
        <v xml:space="preserve"> </v>
      </c>
      <c r="Z34" s="195"/>
      <c r="AA34" s="189">
        <f>IF(Z34&lt;&gt;0,Z34,R34)</f>
        <v>4</v>
      </c>
      <c r="AB34" s="190">
        <f>IF(X34&lt;&gt;0, X34,V34)</f>
        <v>45000</v>
      </c>
      <c r="AC34" s="190">
        <f>AA34*AB34</f>
        <v>180000</v>
      </c>
      <c r="AD34" s="196"/>
    </row>
    <row r="35" spans="1:30" s="10" customFormat="1" ht="45.75" customHeight="1" outlineLevel="1" x14ac:dyDescent="0.25">
      <c r="A35" s="323">
        <v>5</v>
      </c>
      <c r="B35" s="324" t="s">
        <v>77</v>
      </c>
      <c r="C35" s="303" t="s">
        <v>4</v>
      </c>
      <c r="D35" s="616">
        <v>330</v>
      </c>
      <c r="E35" s="307">
        <v>7000</v>
      </c>
      <c r="F35" s="307">
        <f>E35*D35</f>
        <v>2310000</v>
      </c>
      <c r="G35" s="325"/>
      <c r="H35" s="326">
        <v>0.36</v>
      </c>
      <c r="I35" s="309">
        <f t="shared" si="21"/>
        <v>10000</v>
      </c>
      <c r="J35" s="310">
        <f t="shared" si="22"/>
        <v>3300000</v>
      </c>
      <c r="K35" s="310">
        <f t="shared" si="23"/>
        <v>990000</v>
      </c>
      <c r="L35" s="327"/>
      <c r="M35" s="186"/>
      <c r="N35" s="187"/>
      <c r="O35" s="186"/>
      <c r="P35" s="187"/>
      <c r="Q35" s="212"/>
      <c r="R35" s="188"/>
      <c r="S35" s="189"/>
      <c r="T35" s="189"/>
      <c r="U35" s="190"/>
      <c r="V35" s="191"/>
      <c r="W35" s="192"/>
      <c r="X35" s="193"/>
      <c r="Y35" s="194"/>
      <c r="Z35" s="222"/>
      <c r="AA35" s="189"/>
      <c r="AB35" s="190"/>
      <c r="AC35" s="190"/>
      <c r="AD35" s="196"/>
    </row>
    <row r="36" spans="1:30" s="16" customFormat="1" ht="45.75" customHeight="1" x14ac:dyDescent="0.25">
      <c r="A36" s="312" t="s">
        <v>176</v>
      </c>
      <c r="B36" s="312" t="s">
        <v>177</v>
      </c>
      <c r="C36" s="313" t="s">
        <v>27</v>
      </c>
      <c r="D36" s="328">
        <f>SUM(D37:D39)</f>
        <v>164</v>
      </c>
      <c r="E36" s="329">
        <f>F36/D36</f>
        <v>496981.70731707319</v>
      </c>
      <c r="F36" s="329">
        <f>SUBTOTAL(9,F37:F43)</f>
        <v>81505000</v>
      </c>
      <c r="G36" s="329"/>
      <c r="H36" s="314">
        <v>0.36</v>
      </c>
      <c r="I36" s="329">
        <f t="shared" si="21"/>
        <v>676000</v>
      </c>
      <c r="J36" s="329">
        <f t="shared" si="22"/>
        <v>110864000</v>
      </c>
      <c r="K36" s="329">
        <f t="shared" si="23"/>
        <v>29359000</v>
      </c>
      <c r="L36" s="315"/>
      <c r="M36" s="316">
        <f>56/61</f>
        <v>0.91803278688524592</v>
      </c>
      <c r="N36" s="317"/>
      <c r="O36" s="318"/>
      <c r="P36" s="317"/>
      <c r="Q36" s="319"/>
      <c r="R36" s="319"/>
      <c r="S36" s="319"/>
      <c r="T36" s="319"/>
      <c r="U36" s="319">
        <f>T36*R36</f>
        <v>0</v>
      </c>
      <c r="V36" s="319"/>
      <c r="W36" s="319"/>
      <c r="X36" s="319"/>
      <c r="Y36" s="319" t="str">
        <f>IF(X36&lt;&gt;0,1-T36/X36," ")</f>
        <v xml:space="preserve"> </v>
      </c>
      <c r="Z36" s="319"/>
      <c r="AA36" s="319">
        <f>IF(Z36&lt;&gt;0,Z36,R36)</f>
        <v>0</v>
      </c>
      <c r="AB36" s="319">
        <f>IF(X36&lt;&gt;0, X36,V36)</f>
        <v>0</v>
      </c>
      <c r="AC36" s="319">
        <f>AA36*AB36</f>
        <v>0</v>
      </c>
      <c r="AD36" s="319"/>
    </row>
    <row r="37" spans="1:30" s="10" customFormat="1" ht="45.75" customHeight="1" outlineLevel="1" x14ac:dyDescent="0.25">
      <c r="A37" s="197">
        <v>1</v>
      </c>
      <c r="B37" s="330" t="s">
        <v>115</v>
      </c>
      <c r="C37" s="197" t="s">
        <v>27</v>
      </c>
      <c r="D37" s="619">
        <f>117+5</f>
        <v>122</v>
      </c>
      <c r="E37" s="332">
        <v>400000</v>
      </c>
      <c r="F37" s="333">
        <f t="shared" ref="F37:F43" si="25">E37*D37</f>
        <v>48800000</v>
      </c>
      <c r="G37" s="202"/>
      <c r="H37" s="202"/>
      <c r="I37" s="202"/>
      <c r="J37" s="202"/>
      <c r="K37" s="202"/>
      <c r="L37" s="202"/>
      <c r="M37" s="212"/>
      <c r="N37" s="212"/>
      <c r="O37" s="212"/>
      <c r="P37" s="212"/>
      <c r="Q37" s="212"/>
      <c r="R37" s="196"/>
      <c r="S37" s="196"/>
      <c r="T37" s="196"/>
      <c r="U37" s="190"/>
      <c r="V37" s="189"/>
      <c r="W37" s="196"/>
      <c r="X37" s="190"/>
      <c r="Y37" s="196"/>
      <c r="Z37" s="196"/>
      <c r="AA37" s="189"/>
      <c r="AB37" s="190"/>
      <c r="AC37" s="190"/>
      <c r="AD37" s="196"/>
    </row>
    <row r="38" spans="1:30" s="10" customFormat="1" ht="45.75" customHeight="1" outlineLevel="1" x14ac:dyDescent="0.25">
      <c r="A38" s="197">
        <v>2</v>
      </c>
      <c r="B38" s="330" t="s">
        <v>116</v>
      </c>
      <c r="C38" s="197" t="s">
        <v>27</v>
      </c>
      <c r="D38" s="619">
        <f>39+1</f>
        <v>40</v>
      </c>
      <c r="E38" s="334">
        <v>500000</v>
      </c>
      <c r="F38" s="333">
        <f t="shared" si="25"/>
        <v>20000000</v>
      </c>
      <c r="G38" s="202"/>
      <c r="H38" s="202"/>
      <c r="I38" s="202"/>
      <c r="J38" s="202"/>
      <c r="K38" s="204"/>
      <c r="L38" s="202"/>
      <c r="M38" s="212"/>
      <c r="N38" s="212"/>
      <c r="O38" s="212"/>
      <c r="P38" s="212"/>
      <c r="Q38" s="212"/>
      <c r="R38" s="196"/>
      <c r="S38" s="196"/>
      <c r="T38" s="196"/>
      <c r="U38" s="190"/>
      <c r="V38" s="189"/>
      <c r="W38" s="196"/>
      <c r="X38" s="190"/>
      <c r="Y38" s="196"/>
      <c r="Z38" s="196"/>
      <c r="AA38" s="189"/>
      <c r="AB38" s="190"/>
      <c r="AC38" s="190"/>
      <c r="AD38" s="196"/>
    </row>
    <row r="39" spans="1:30" s="10" customFormat="1" ht="45.75" customHeight="1" outlineLevel="1" x14ac:dyDescent="0.25">
      <c r="A39" s="197">
        <v>3</v>
      </c>
      <c r="B39" s="330" t="s">
        <v>136</v>
      </c>
      <c r="C39" s="197" t="s">
        <v>27</v>
      </c>
      <c r="D39" s="331">
        <v>2</v>
      </c>
      <c r="E39" s="332">
        <v>450000</v>
      </c>
      <c r="F39" s="333">
        <f t="shared" si="25"/>
        <v>900000</v>
      </c>
      <c r="G39" s="202"/>
      <c r="H39" s="202"/>
      <c r="I39" s="202"/>
      <c r="J39" s="202"/>
      <c r="K39" s="202"/>
      <c r="L39" s="202"/>
      <c r="M39" s="212"/>
      <c r="N39" s="212"/>
      <c r="O39" s="212"/>
      <c r="P39" s="212"/>
      <c r="Q39" s="212"/>
      <c r="R39" s="196"/>
      <c r="S39" s="196"/>
      <c r="T39" s="196"/>
      <c r="U39" s="190"/>
      <c r="V39" s="189"/>
      <c r="W39" s="196"/>
      <c r="X39" s="190"/>
      <c r="Y39" s="196"/>
      <c r="Z39" s="196"/>
      <c r="AA39" s="189"/>
      <c r="AB39" s="190"/>
      <c r="AC39" s="190"/>
      <c r="AD39" s="196"/>
    </row>
    <row r="40" spans="1:30" s="10" customFormat="1" ht="45.75" customHeight="1" outlineLevel="1" x14ac:dyDescent="0.25">
      <c r="A40" s="197">
        <v>4</v>
      </c>
      <c r="B40" s="330" t="s">
        <v>117</v>
      </c>
      <c r="C40" s="197" t="s">
        <v>27</v>
      </c>
      <c r="D40" s="331">
        <v>2</v>
      </c>
      <c r="E40" s="332">
        <v>450000</v>
      </c>
      <c r="F40" s="333">
        <f t="shared" si="25"/>
        <v>900000</v>
      </c>
      <c r="G40" s="202"/>
      <c r="H40" s="202"/>
      <c r="I40" s="202"/>
      <c r="J40" s="202"/>
      <c r="K40" s="202"/>
      <c r="L40" s="202"/>
      <c r="M40" s="212"/>
      <c r="N40" s="212"/>
      <c r="O40" s="212"/>
      <c r="P40" s="212"/>
      <c r="Q40" s="212"/>
      <c r="R40" s="196"/>
      <c r="S40" s="196"/>
      <c r="T40" s="196"/>
      <c r="U40" s="190"/>
      <c r="V40" s="189"/>
      <c r="W40" s="196"/>
      <c r="X40" s="190"/>
      <c r="Y40" s="196"/>
      <c r="Z40" s="196"/>
      <c r="AA40" s="189"/>
      <c r="AB40" s="190"/>
      <c r="AC40" s="190"/>
      <c r="AD40" s="196"/>
    </row>
    <row r="41" spans="1:30" s="10" customFormat="1" ht="45.75" customHeight="1" outlineLevel="1" x14ac:dyDescent="0.25">
      <c r="A41" s="197">
        <v>5</v>
      </c>
      <c r="B41" s="330" t="s">
        <v>274</v>
      </c>
      <c r="C41" s="197" t="s">
        <v>27</v>
      </c>
      <c r="D41" s="331">
        <v>12</v>
      </c>
      <c r="E41" s="332">
        <v>450000</v>
      </c>
      <c r="F41" s="333">
        <f t="shared" si="25"/>
        <v>5400000</v>
      </c>
      <c r="G41" s="202"/>
      <c r="H41" s="202"/>
      <c r="I41" s="202"/>
      <c r="J41" s="202"/>
      <c r="K41" s="202"/>
      <c r="L41" s="202"/>
      <c r="M41" s="212"/>
      <c r="N41" s="212"/>
      <c r="O41" s="212"/>
      <c r="P41" s="212"/>
      <c r="Q41" s="212"/>
      <c r="R41" s="196"/>
      <c r="S41" s="196"/>
      <c r="T41" s="196"/>
      <c r="U41" s="190"/>
      <c r="V41" s="189"/>
      <c r="W41" s="196"/>
      <c r="X41" s="190"/>
      <c r="Y41" s="196"/>
      <c r="Z41" s="196"/>
      <c r="AA41" s="189"/>
      <c r="AB41" s="190"/>
      <c r="AC41" s="190"/>
      <c r="AD41" s="196"/>
    </row>
    <row r="42" spans="1:30" s="10" customFormat="1" ht="45.75" customHeight="1" outlineLevel="1" x14ac:dyDescent="0.25">
      <c r="A42" s="197">
        <v>6</v>
      </c>
      <c r="B42" s="330" t="s">
        <v>118</v>
      </c>
      <c r="C42" s="197" t="s">
        <v>27</v>
      </c>
      <c r="D42" s="331">
        <v>164</v>
      </c>
      <c r="E42" s="332">
        <v>30000</v>
      </c>
      <c r="F42" s="333">
        <f t="shared" si="25"/>
        <v>4920000</v>
      </c>
      <c r="G42" s="204"/>
      <c r="H42" s="202"/>
      <c r="I42" s="202"/>
      <c r="J42" s="202"/>
      <c r="K42" s="202"/>
      <c r="L42" s="202"/>
      <c r="M42" s="212"/>
      <c r="N42" s="212"/>
      <c r="O42" s="212"/>
      <c r="P42" s="212"/>
      <c r="Q42" s="212"/>
      <c r="R42" s="196"/>
      <c r="S42" s="196"/>
      <c r="T42" s="196"/>
      <c r="U42" s="190"/>
      <c r="V42" s="189"/>
      <c r="W42" s="196"/>
      <c r="X42" s="190"/>
      <c r="Y42" s="196"/>
      <c r="Z42" s="196"/>
      <c r="AA42" s="189"/>
      <c r="AB42" s="190"/>
      <c r="AC42" s="190"/>
      <c r="AD42" s="196"/>
    </row>
    <row r="43" spans="1:30" s="10" customFormat="1" ht="45.75" customHeight="1" outlineLevel="1" x14ac:dyDescent="0.25">
      <c r="A43" s="197">
        <v>7</v>
      </c>
      <c r="B43" s="335" t="s">
        <v>119</v>
      </c>
      <c r="C43" s="323" t="s">
        <v>120</v>
      </c>
      <c r="D43" s="336">
        <v>39</v>
      </c>
      <c r="E43" s="337">
        <v>15000</v>
      </c>
      <c r="F43" s="333">
        <f t="shared" si="25"/>
        <v>585000</v>
      </c>
      <c r="G43" s="338"/>
      <c r="H43" s="339"/>
      <c r="I43" s="339"/>
      <c r="J43" s="339"/>
      <c r="K43" s="339"/>
      <c r="L43" s="339"/>
      <c r="M43" s="212"/>
      <c r="N43" s="212"/>
      <c r="O43" s="212"/>
      <c r="P43" s="212"/>
      <c r="Q43" s="212"/>
      <c r="R43" s="196"/>
      <c r="S43" s="196"/>
      <c r="T43" s="196"/>
      <c r="U43" s="190"/>
      <c r="V43" s="189"/>
      <c r="W43" s="196"/>
      <c r="X43" s="190"/>
      <c r="Y43" s="196"/>
      <c r="Z43" s="196"/>
      <c r="AA43" s="189"/>
      <c r="AB43" s="190"/>
      <c r="AC43" s="190"/>
      <c r="AD43" s="196"/>
    </row>
    <row r="44" spans="1:30" s="9" customFormat="1" ht="51.75" customHeight="1" x14ac:dyDescent="0.4">
      <c r="A44" s="340" t="s">
        <v>28</v>
      </c>
      <c r="B44" s="340"/>
      <c r="C44" s="167"/>
      <c r="D44" s="341"/>
      <c r="E44" s="342"/>
      <c r="F44" s="343">
        <f>SUBTOTAL(9,F4:F43)</f>
        <v>390455980</v>
      </c>
      <c r="G44" s="343"/>
      <c r="H44" s="344">
        <f>K44/F44</f>
        <v>0.42101293979413507</v>
      </c>
      <c r="I44" s="342"/>
      <c r="J44" s="343">
        <f>SUBTOTAL(9,J3:J43)</f>
        <v>554843000</v>
      </c>
      <c r="K44" s="343">
        <f>SUBTOTAL(9,K2:K43)</f>
        <v>164387020</v>
      </c>
      <c r="L44" s="345"/>
      <c r="M44" s="346"/>
      <c r="N44" s="346"/>
      <c r="O44" s="346"/>
      <c r="P44" s="347"/>
      <c r="Q44" s="348"/>
      <c r="R44" s="349"/>
      <c r="S44" s="349"/>
      <c r="T44" s="349"/>
      <c r="U44" s="350">
        <f>SUM(U5:U27)</f>
        <v>376259000</v>
      </c>
      <c r="V44" s="351"/>
      <c r="W44" s="349"/>
      <c r="X44" s="352"/>
      <c r="Y44" s="349"/>
      <c r="Z44" s="349"/>
      <c r="AA44" s="353"/>
      <c r="AB44" s="352"/>
      <c r="AC44" s="350" t="e">
        <f>SUM(AC5:AC36)</f>
        <v>#DIV/0!</v>
      </c>
      <c r="AD44" s="349"/>
    </row>
    <row r="45" spans="1:30" s="9" customFormat="1" ht="45.75" customHeight="1" x14ac:dyDescent="0.4">
      <c r="A45" s="340" t="s">
        <v>8</v>
      </c>
      <c r="B45" s="340"/>
      <c r="C45" s="167"/>
      <c r="D45" s="341" t="s">
        <v>53</v>
      </c>
      <c r="E45" s="341"/>
      <c r="F45" s="343">
        <f>F44*0.1</f>
        <v>39045598</v>
      </c>
      <c r="G45" s="343"/>
      <c r="H45" s="354"/>
      <c r="I45" s="341"/>
      <c r="J45" s="343">
        <f>J44*0.1</f>
        <v>55484300</v>
      </c>
      <c r="K45" s="355"/>
      <c r="L45" s="345"/>
      <c r="M45" s="346"/>
      <c r="N45" s="347"/>
      <c r="O45" s="346"/>
      <c r="P45" s="347"/>
      <c r="Q45" s="348"/>
      <c r="R45" s="349"/>
      <c r="S45" s="349"/>
      <c r="T45" s="349"/>
      <c r="U45" s="352"/>
      <c r="V45" s="353"/>
      <c r="W45" s="349"/>
      <c r="X45" s="352"/>
      <c r="Y45" s="349"/>
      <c r="Z45" s="349"/>
      <c r="AA45" s="353"/>
      <c r="AB45" s="352"/>
      <c r="AC45" s="352"/>
      <c r="AD45" s="349"/>
    </row>
    <row r="46" spans="1:30" s="9" customFormat="1" ht="45.75" customHeight="1" x14ac:dyDescent="0.4">
      <c r="A46" s="340" t="s">
        <v>29</v>
      </c>
      <c r="B46" s="356"/>
      <c r="C46" s="357"/>
      <c r="D46" s="358"/>
      <c r="E46" s="358"/>
      <c r="F46" s="359">
        <f>F44+F45</f>
        <v>429501578</v>
      </c>
      <c r="G46" s="360"/>
      <c r="H46" s="361"/>
      <c r="I46" s="360"/>
      <c r="J46" s="343">
        <f>J44+J45</f>
        <v>610327300</v>
      </c>
      <c r="K46" s="362"/>
      <c r="L46" s="345"/>
      <c r="M46" s="346"/>
      <c r="N46" s="347"/>
      <c r="O46" s="346"/>
      <c r="P46" s="347"/>
      <c r="Q46" s="348"/>
      <c r="R46" s="349"/>
      <c r="S46" s="349"/>
      <c r="T46" s="349"/>
      <c r="U46" s="352"/>
      <c r="V46" s="353"/>
      <c r="W46" s="349"/>
      <c r="X46" s="352"/>
      <c r="Y46" s="349"/>
      <c r="Z46" s="349"/>
      <c r="AA46" s="353"/>
      <c r="AB46" s="352"/>
      <c r="AC46" s="352"/>
      <c r="AD46" s="349"/>
    </row>
    <row r="47" spans="1:30" s="149" customFormat="1" ht="36.75" customHeight="1" x14ac:dyDescent="0.4">
      <c r="A47" s="363"/>
      <c r="B47" s="364" t="s">
        <v>178</v>
      </c>
      <c r="C47" s="365">
        <v>0.11</v>
      </c>
      <c r="D47" s="365"/>
      <c r="E47" s="717"/>
      <c r="F47" s="717"/>
      <c r="I47" s="348"/>
      <c r="J47" s="366"/>
      <c r="K47" s="186"/>
      <c r="L47" s="367"/>
      <c r="M47" s="348"/>
      <c r="N47" s="363"/>
      <c r="O47" s="347"/>
    </row>
    <row r="48" spans="1:30" s="149" customFormat="1" ht="36.75" customHeight="1" x14ac:dyDescent="0.4">
      <c r="A48" s="363"/>
      <c r="B48" s="368" t="s">
        <v>179</v>
      </c>
      <c r="C48" s="369">
        <v>2</v>
      </c>
      <c r="D48" s="369"/>
      <c r="E48" s="717"/>
      <c r="F48" s="717"/>
      <c r="I48" s="348"/>
      <c r="J48" s="366"/>
      <c r="K48" s="186"/>
      <c r="L48" s="370"/>
      <c r="M48" s="348"/>
      <c r="N48" s="363"/>
      <c r="O48" s="347"/>
    </row>
    <row r="49" spans="1:18" s="149" customFormat="1" ht="36.75" customHeight="1" x14ac:dyDescent="0.4">
      <c r="A49" s="363"/>
      <c r="B49" s="364" t="s">
        <v>57</v>
      </c>
      <c r="C49" s="371">
        <v>0.05</v>
      </c>
      <c r="D49" s="371"/>
      <c r="E49" s="718">
        <f>C52*C49</f>
        <v>27742150</v>
      </c>
      <c r="F49" s="718"/>
      <c r="I49" s="348"/>
      <c r="J49" s="366"/>
      <c r="K49" s="147"/>
      <c r="L49" s="231"/>
      <c r="M49" s="348"/>
      <c r="N49" s="363"/>
      <c r="O49" s="347"/>
    </row>
    <row r="50" spans="1:18" s="149" customFormat="1" ht="36.75" customHeight="1" x14ac:dyDescent="0.4">
      <c r="A50" s="363"/>
      <c r="B50" s="364" t="s">
        <v>180</v>
      </c>
      <c r="C50" s="372">
        <v>12</v>
      </c>
      <c r="D50" s="372"/>
      <c r="E50" s="717"/>
      <c r="F50" s="717"/>
      <c r="I50" s="348"/>
      <c r="J50" s="366"/>
      <c r="K50" s="186"/>
      <c r="L50" s="231"/>
      <c r="M50" s="373"/>
      <c r="N50" s="363"/>
      <c r="O50" s="347"/>
    </row>
    <row r="51" spans="1:18" s="149" customFormat="1" ht="36.75" customHeight="1" x14ac:dyDescent="0.4">
      <c r="A51" s="374"/>
      <c r="B51" s="375" t="s">
        <v>58</v>
      </c>
      <c r="C51" s="376"/>
      <c r="D51" s="376"/>
      <c r="E51" s="377" t="s">
        <v>31</v>
      </c>
      <c r="F51" s="377" t="s">
        <v>32</v>
      </c>
      <c r="I51" s="378"/>
      <c r="J51" s="379"/>
      <c r="K51" s="380"/>
      <c r="L51" s="381"/>
      <c r="M51" s="382"/>
      <c r="N51" s="383"/>
      <c r="O51" s="376"/>
      <c r="P51" s="376"/>
      <c r="Q51" s="377"/>
      <c r="R51" s="377"/>
    </row>
    <row r="52" spans="1:18" s="387" customFormat="1" ht="36.75" customHeight="1" x14ac:dyDescent="0.25">
      <c r="A52" s="384">
        <v>1</v>
      </c>
      <c r="B52" s="385" t="s">
        <v>30</v>
      </c>
      <c r="C52" s="705">
        <f>J44</f>
        <v>554843000</v>
      </c>
      <c r="D52" s="706"/>
      <c r="E52" s="386"/>
      <c r="F52" s="384"/>
      <c r="I52" s="388"/>
      <c r="J52" s="707"/>
      <c r="K52" s="707"/>
      <c r="L52" s="389"/>
      <c r="M52" s="390"/>
      <c r="N52" s="391"/>
      <c r="O52" s="708"/>
      <c r="P52" s="708"/>
      <c r="Q52" s="392"/>
      <c r="R52" s="393"/>
    </row>
    <row r="53" spans="1:18" s="387" customFormat="1" ht="36.75" customHeight="1" x14ac:dyDescent="0.25">
      <c r="A53" s="384">
        <v>2</v>
      </c>
      <c r="B53" s="385" t="s">
        <v>33</v>
      </c>
      <c r="C53" s="705">
        <f>SUM(C54:D58)</f>
        <v>390455980</v>
      </c>
      <c r="D53" s="706"/>
      <c r="E53" s="394">
        <f>C53/$C$52</f>
        <v>0.70372335958099863</v>
      </c>
      <c r="F53" s="395">
        <f>C53/$C$53</f>
        <v>1</v>
      </c>
      <c r="I53" s="388"/>
      <c r="J53" s="396"/>
      <c r="K53" s="396"/>
      <c r="L53" s="397"/>
      <c r="M53" s="216"/>
      <c r="N53" s="391"/>
      <c r="O53" s="398"/>
      <c r="P53" s="398"/>
      <c r="Q53" s="399"/>
      <c r="R53" s="212"/>
    </row>
    <row r="54" spans="1:18" s="387" customFormat="1" ht="36.75" customHeight="1" x14ac:dyDescent="0.25">
      <c r="A54" s="400"/>
      <c r="B54" s="401" t="s">
        <v>34</v>
      </c>
      <c r="C54" s="709">
        <f>SUBTOTAL(9,F4:F35)</f>
        <v>308950980</v>
      </c>
      <c r="D54" s="710"/>
      <c r="E54" s="402">
        <f>C54/$C$52</f>
        <v>0.55682594896213888</v>
      </c>
      <c r="F54" s="402">
        <f>C54/$C$53</f>
        <v>0.79125687868834793</v>
      </c>
      <c r="I54" s="388"/>
      <c r="J54" s="396"/>
      <c r="K54" s="396"/>
      <c r="L54" s="403"/>
      <c r="M54" s="403"/>
      <c r="N54" s="391"/>
      <c r="O54" s="398"/>
      <c r="P54" s="398"/>
      <c r="Q54" s="404"/>
      <c r="R54" s="404"/>
    </row>
    <row r="55" spans="1:18" s="387" customFormat="1" ht="36.75" customHeight="1" x14ac:dyDescent="0.25">
      <c r="A55" s="400"/>
      <c r="B55" s="401" t="s">
        <v>35</v>
      </c>
      <c r="C55" s="405"/>
      <c r="D55" s="406"/>
      <c r="E55" s="402"/>
      <c r="F55" s="402"/>
      <c r="I55" s="388"/>
      <c r="J55" s="396"/>
      <c r="K55" s="396"/>
      <c r="L55" s="403"/>
      <c r="M55" s="403"/>
      <c r="N55" s="391"/>
      <c r="O55" s="398"/>
      <c r="P55" s="398"/>
      <c r="Q55" s="404"/>
      <c r="R55" s="404"/>
    </row>
    <row r="56" spans="1:18" s="387" customFormat="1" ht="36.75" customHeight="1" x14ac:dyDescent="0.25">
      <c r="A56" s="400"/>
      <c r="B56" s="401" t="s">
        <v>36</v>
      </c>
      <c r="C56" s="709">
        <f>F36</f>
        <v>81505000</v>
      </c>
      <c r="D56" s="710"/>
      <c r="E56" s="402">
        <f>C56/$C$52</f>
        <v>0.14689741061885975</v>
      </c>
      <c r="F56" s="402">
        <f>C56/$C$53</f>
        <v>0.2087431213116521</v>
      </c>
      <c r="J56" s="708"/>
      <c r="K56" s="708"/>
      <c r="L56" s="404"/>
      <c r="M56" s="404"/>
      <c r="N56" s="407"/>
      <c r="O56" s="708"/>
      <c r="P56" s="708"/>
      <c r="Q56" s="404"/>
      <c r="R56" s="404"/>
    </row>
    <row r="57" spans="1:18" s="387" customFormat="1" ht="36.75" customHeight="1" x14ac:dyDescent="0.25">
      <c r="A57" s="400"/>
      <c r="B57" s="401" t="s">
        <v>37</v>
      </c>
      <c r="C57" s="405"/>
      <c r="D57" s="406"/>
      <c r="E57" s="402"/>
      <c r="F57" s="402"/>
      <c r="J57" s="714"/>
      <c r="K57" s="714"/>
      <c r="L57" s="404"/>
      <c r="M57" s="404"/>
      <c r="N57" s="408"/>
      <c r="O57" s="714"/>
      <c r="P57" s="714"/>
      <c r="Q57" s="404"/>
      <c r="R57" s="404"/>
    </row>
    <row r="58" spans="1:18" s="387" customFormat="1" ht="36.75" customHeight="1" x14ac:dyDescent="0.25">
      <c r="A58" s="400"/>
      <c r="B58" s="401" t="s">
        <v>123</v>
      </c>
      <c r="C58" s="709"/>
      <c r="D58" s="710"/>
      <c r="E58" s="402"/>
      <c r="F58" s="402"/>
      <c r="J58" s="363"/>
      <c r="K58" s="363"/>
      <c r="L58" s="404"/>
      <c r="M58" s="404"/>
      <c r="N58" s="408"/>
      <c r="O58" s="363"/>
      <c r="P58" s="363"/>
      <c r="Q58" s="404"/>
      <c r="R58" s="404"/>
    </row>
    <row r="59" spans="1:18" s="387" customFormat="1" ht="36.75" customHeight="1" x14ac:dyDescent="0.25">
      <c r="A59" s="384">
        <v>3</v>
      </c>
      <c r="B59" s="385" t="s">
        <v>124</v>
      </c>
      <c r="C59" s="705">
        <f>SUM(C60:D62)</f>
        <v>24645290</v>
      </c>
      <c r="D59" s="706"/>
      <c r="E59" s="394">
        <f>C59/$C$52</f>
        <v>4.4418493159326153E-2</v>
      </c>
      <c r="F59" s="409">
        <f>C59/$C$53</f>
        <v>6.3119253545559736E-2</v>
      </c>
      <c r="I59" s="388"/>
      <c r="J59" s="396"/>
      <c r="K59" s="396"/>
      <c r="L59" s="397"/>
      <c r="M59" s="216"/>
      <c r="N59" s="391"/>
      <c r="O59" s="398"/>
      <c r="P59" s="398"/>
      <c r="Q59" s="399"/>
      <c r="R59" s="212"/>
    </row>
    <row r="60" spans="1:18" s="387" customFormat="1" ht="36.75" customHeight="1" x14ac:dyDescent="0.25">
      <c r="A60" s="400"/>
      <c r="B60" s="401" t="s">
        <v>125</v>
      </c>
      <c r="C60" s="709">
        <f>C52*0.03</f>
        <v>16645290</v>
      </c>
      <c r="D60" s="710"/>
      <c r="E60" s="402">
        <f>C60/$C$52</f>
        <v>0.03</v>
      </c>
      <c r="F60" s="402">
        <f>C60/$C$53</f>
        <v>4.2630388193824052E-2</v>
      </c>
      <c r="J60" s="711"/>
      <c r="K60" s="711"/>
      <c r="L60" s="404"/>
      <c r="M60" s="212"/>
      <c r="N60" s="407"/>
      <c r="O60" s="711"/>
      <c r="P60" s="711"/>
      <c r="Q60" s="404"/>
      <c r="R60" s="212"/>
    </row>
    <row r="61" spans="1:18" s="387" customFormat="1" ht="36.75" customHeight="1" x14ac:dyDescent="0.25">
      <c r="A61" s="400"/>
      <c r="B61" s="401" t="s">
        <v>126</v>
      </c>
      <c r="C61" s="709">
        <v>8000000</v>
      </c>
      <c r="D61" s="710"/>
      <c r="E61" s="402">
        <f>C61/$C$52</f>
        <v>1.4418493159326152E-2</v>
      </c>
      <c r="F61" s="402">
        <f>C61/$C$53</f>
        <v>2.0488865351735681E-2</v>
      </c>
      <c r="J61" s="711"/>
      <c r="K61" s="711"/>
      <c r="L61" s="404"/>
      <c r="M61" s="212"/>
      <c r="N61" s="407"/>
      <c r="O61" s="711"/>
      <c r="P61" s="711"/>
      <c r="Q61" s="404"/>
      <c r="R61" s="212"/>
    </row>
    <row r="62" spans="1:18" s="387" customFormat="1" ht="36.75" customHeight="1" x14ac:dyDescent="0.25">
      <c r="A62" s="400"/>
      <c r="B62" s="401" t="s">
        <v>127</v>
      </c>
      <c r="C62" s="712"/>
      <c r="D62" s="713"/>
      <c r="E62" s="402"/>
      <c r="F62" s="410"/>
      <c r="J62" s="714"/>
      <c r="K62" s="714"/>
      <c r="L62" s="404"/>
      <c r="M62" s="212"/>
      <c r="N62" s="408"/>
      <c r="O62" s="714"/>
      <c r="P62" s="714"/>
      <c r="Q62" s="404"/>
      <c r="R62" s="212"/>
    </row>
    <row r="63" spans="1:18" s="387" customFormat="1" ht="36.75" customHeight="1" x14ac:dyDescent="0.25">
      <c r="A63" s="384">
        <v>3</v>
      </c>
      <c r="B63" s="385" t="s">
        <v>38</v>
      </c>
      <c r="C63" s="705">
        <f>SUM(C64:C66)</f>
        <v>10209996.133333333</v>
      </c>
      <c r="D63" s="706"/>
      <c r="E63" s="394">
        <f>C63/$C$52</f>
        <v>1.8401594925651639E-2</v>
      </c>
      <c r="F63" s="409">
        <f>C63/$C$53</f>
        <v>2.6148904502201076E-2</v>
      </c>
      <c r="I63" s="388"/>
      <c r="J63" s="707"/>
      <c r="K63" s="707"/>
      <c r="L63" s="411"/>
      <c r="M63" s="390"/>
      <c r="N63" s="391"/>
      <c r="O63" s="708"/>
      <c r="P63" s="708"/>
      <c r="Q63" s="392"/>
      <c r="R63" s="393"/>
    </row>
    <row r="64" spans="1:18" s="387" customFormat="1" ht="36.75" customHeight="1" x14ac:dyDescent="0.25">
      <c r="A64" s="400"/>
      <c r="B64" s="401" t="s">
        <v>39</v>
      </c>
      <c r="C64" s="703">
        <f>(C47/12*C48)*C54</f>
        <v>5664101.2999999998</v>
      </c>
      <c r="D64" s="704"/>
      <c r="E64" s="412"/>
      <c r="F64" s="413"/>
      <c r="J64" s="702"/>
      <c r="K64" s="702"/>
      <c r="L64" s="414"/>
      <c r="M64" s="404"/>
      <c r="N64" s="407"/>
      <c r="O64" s="702"/>
      <c r="P64" s="702"/>
      <c r="Q64" s="414"/>
      <c r="R64" s="404"/>
    </row>
    <row r="65" spans="1:29" s="387" customFormat="1" ht="36.75" customHeight="1" x14ac:dyDescent="0.25">
      <c r="A65" s="400"/>
      <c r="B65" s="401" t="s">
        <v>40</v>
      </c>
      <c r="C65" s="703">
        <f>C56*(C47/12*C48)</f>
        <v>1494258.3333333333</v>
      </c>
      <c r="D65" s="704"/>
      <c r="E65" s="412"/>
      <c r="F65" s="413"/>
      <c r="J65" s="702"/>
      <c r="K65" s="702"/>
      <c r="L65" s="414"/>
      <c r="M65" s="404"/>
      <c r="N65" s="407"/>
      <c r="O65" s="702"/>
      <c r="P65" s="702"/>
      <c r="Q65" s="414"/>
      <c r="R65" s="404"/>
    </row>
    <row r="66" spans="1:29" s="212" customFormat="1" ht="36.75" customHeight="1" x14ac:dyDescent="0.25">
      <c r="A66" s="400"/>
      <c r="B66" s="401" t="s">
        <v>59</v>
      </c>
      <c r="C66" s="703">
        <f>C47/12*C50*E49</f>
        <v>3051636.5</v>
      </c>
      <c r="D66" s="704"/>
      <c r="E66" s="415" t="s">
        <v>53</v>
      </c>
      <c r="F66" s="415"/>
      <c r="I66" s="231"/>
      <c r="J66" s="702"/>
      <c r="K66" s="702"/>
      <c r="L66" s="416"/>
      <c r="M66" s="416"/>
      <c r="N66" s="417"/>
      <c r="O66" s="702"/>
      <c r="P66" s="702"/>
      <c r="Q66" s="416"/>
      <c r="R66" s="416"/>
    </row>
    <row r="67" spans="1:29" s="212" customFormat="1" ht="36.75" customHeight="1" x14ac:dyDescent="0.25">
      <c r="A67" s="400"/>
      <c r="B67" s="401" t="s">
        <v>135</v>
      </c>
      <c r="C67" s="697"/>
      <c r="D67" s="698"/>
      <c r="E67" s="415"/>
      <c r="F67" s="415"/>
      <c r="J67" s="699"/>
      <c r="K67" s="699"/>
      <c r="L67" s="418"/>
      <c r="M67" s="418"/>
      <c r="N67" s="417"/>
      <c r="O67" s="699"/>
      <c r="P67" s="699"/>
      <c r="Q67" s="418"/>
      <c r="R67" s="418"/>
    </row>
    <row r="68" spans="1:29" s="387" customFormat="1" ht="54.75" customHeight="1" x14ac:dyDescent="0.25">
      <c r="A68" s="384">
        <v>4</v>
      </c>
      <c r="B68" s="419" t="s">
        <v>128</v>
      </c>
      <c r="C68" s="693">
        <f>C52-C53-C59</f>
        <v>139741730</v>
      </c>
      <c r="D68" s="694"/>
      <c r="E68" s="394">
        <f>C68/$C$52</f>
        <v>0.25185814725967526</v>
      </c>
      <c r="F68" s="409">
        <f>C68/$C$53</f>
        <v>0.35789368624857532</v>
      </c>
      <c r="I68" s="388"/>
      <c r="J68" s="420"/>
      <c r="K68" s="420"/>
      <c r="L68" s="397"/>
      <c r="M68" s="216"/>
      <c r="N68" s="391"/>
      <c r="O68" s="421"/>
      <c r="P68" s="421"/>
      <c r="Q68" s="399"/>
      <c r="R68" s="212"/>
    </row>
    <row r="69" spans="1:29" s="387" customFormat="1" ht="54.75" customHeight="1" x14ac:dyDescent="0.25">
      <c r="A69" s="384">
        <v>5</v>
      </c>
      <c r="B69" s="419" t="s">
        <v>129</v>
      </c>
      <c r="C69" s="693">
        <f>C68-C63</f>
        <v>129531733.86666667</v>
      </c>
      <c r="D69" s="694"/>
      <c r="E69" s="394">
        <f>C69/$C$52</f>
        <v>0.23345655233402363</v>
      </c>
      <c r="F69" s="409">
        <f>C69/$C$53</f>
        <v>0.33174478174637428</v>
      </c>
      <c r="I69" s="388"/>
      <c r="J69" s="420"/>
      <c r="K69" s="420"/>
      <c r="L69" s="397"/>
      <c r="M69" s="216"/>
      <c r="N69" s="391"/>
      <c r="O69" s="421"/>
      <c r="P69" s="421"/>
      <c r="Q69" s="399"/>
      <c r="R69" s="212"/>
    </row>
    <row r="70" spans="1:29" s="387" customFormat="1" ht="72" customHeight="1" x14ac:dyDescent="0.25">
      <c r="A70" s="400"/>
      <c r="B70" s="422" t="s">
        <v>130</v>
      </c>
      <c r="C70" s="700">
        <f>SUM(C69,C59)*0.2</f>
        <v>30835404.773333337</v>
      </c>
      <c r="D70" s="701"/>
      <c r="E70" s="423"/>
      <c r="F70" s="402"/>
      <c r="J70" s="702"/>
      <c r="K70" s="702"/>
      <c r="L70" s="414"/>
      <c r="M70" s="404"/>
      <c r="N70" s="407"/>
      <c r="O70" s="702"/>
      <c r="P70" s="702"/>
      <c r="Q70" s="414"/>
      <c r="R70" s="404"/>
    </row>
    <row r="71" spans="1:29" s="387" customFormat="1" ht="36.75" customHeight="1" x14ac:dyDescent="0.25">
      <c r="A71" s="384">
        <v>6</v>
      </c>
      <c r="B71" s="419" t="s">
        <v>131</v>
      </c>
      <c r="C71" s="693">
        <f>C69-C70</f>
        <v>98696329.093333334</v>
      </c>
      <c r="D71" s="694"/>
      <c r="E71" s="394">
        <f>C71/C52</f>
        <v>0.17788154323535366</v>
      </c>
      <c r="F71" s="409">
        <f>C71/C53</f>
        <v>0.25277197468798746</v>
      </c>
      <c r="I71" s="388"/>
      <c r="J71" s="420"/>
      <c r="K71" s="420"/>
      <c r="L71" s="397"/>
      <c r="M71" s="216"/>
      <c r="N71" s="391"/>
      <c r="O71" s="421"/>
      <c r="P71" s="421"/>
      <c r="Q71" s="399"/>
      <c r="R71" s="212"/>
    </row>
    <row r="72" spans="1:29" s="149" customFormat="1" ht="36.75" customHeight="1" x14ac:dyDescent="0.4">
      <c r="A72" s="363"/>
      <c r="B72" s="424"/>
      <c r="E72" s="398"/>
      <c r="F72" s="398"/>
      <c r="G72" s="425"/>
      <c r="H72" s="399"/>
      <c r="J72" s="695">
        <v>45919</v>
      </c>
      <c r="K72" s="695"/>
      <c r="L72" s="695"/>
      <c r="O72" s="148"/>
    </row>
    <row r="73" spans="1:29" s="348" customFormat="1" ht="36.75" customHeight="1" x14ac:dyDescent="0.4">
      <c r="A73" s="426"/>
      <c r="B73" s="426" t="s">
        <v>133</v>
      </c>
      <c r="C73" s="427"/>
      <c r="D73" s="426" t="s">
        <v>261</v>
      </c>
      <c r="G73" s="426"/>
      <c r="H73" s="426" t="s">
        <v>132</v>
      </c>
      <c r="J73" s="696" t="s">
        <v>46</v>
      </c>
      <c r="K73" s="696"/>
      <c r="L73" s="696"/>
      <c r="O73" s="347"/>
    </row>
    <row r="74" spans="1:29" s="348" customFormat="1" ht="36.75" customHeight="1" x14ac:dyDescent="0.4">
      <c r="B74" s="428"/>
      <c r="C74" s="428"/>
      <c r="D74" s="428"/>
      <c r="G74" s="428"/>
      <c r="L74" s="363"/>
      <c r="O74" s="347"/>
    </row>
    <row r="75" spans="1:29" s="348" customFormat="1" ht="36.75" customHeight="1" x14ac:dyDescent="0.4">
      <c r="B75" s="428"/>
      <c r="C75" s="428"/>
      <c r="D75" s="428"/>
      <c r="G75" s="428"/>
      <c r="L75" s="363"/>
      <c r="O75" s="347"/>
    </row>
    <row r="76" spans="1:29" s="348" customFormat="1" ht="36.75" customHeight="1" x14ac:dyDescent="0.4">
      <c r="B76" s="428"/>
      <c r="C76" s="428"/>
      <c r="D76" s="428"/>
      <c r="G76" s="428"/>
      <c r="K76" s="387"/>
      <c r="L76" s="408"/>
      <c r="O76" s="347"/>
    </row>
    <row r="77" spans="1:29" s="212" customFormat="1" ht="36.75" customHeight="1" x14ac:dyDescent="0.25">
      <c r="B77" s="426" t="s">
        <v>260</v>
      </c>
      <c r="C77" s="426"/>
      <c r="D77" s="426" t="s">
        <v>259</v>
      </c>
      <c r="G77" s="426"/>
      <c r="H77" s="426" t="s">
        <v>73</v>
      </c>
      <c r="J77" s="696" t="s">
        <v>258</v>
      </c>
      <c r="K77" s="696"/>
      <c r="L77" s="696"/>
      <c r="O77" s="187"/>
    </row>
    <row r="78" spans="1:29" s="149" customFormat="1" ht="36.75" customHeight="1" x14ac:dyDescent="0.4">
      <c r="J78" s="387"/>
      <c r="K78" s="387"/>
      <c r="L78" s="387"/>
      <c r="N78" s="408"/>
    </row>
    <row r="79" spans="1:29" s="149" customFormat="1" ht="36.75" customHeight="1" x14ac:dyDescent="0.4">
      <c r="C79" s="429"/>
      <c r="D79" s="430"/>
      <c r="H79" s="387"/>
      <c r="I79" s="387"/>
      <c r="J79" s="387"/>
      <c r="L79" s="408"/>
      <c r="M79" s="147"/>
      <c r="N79" s="148"/>
      <c r="O79" s="147"/>
      <c r="P79" s="148"/>
      <c r="U79" s="147"/>
      <c r="V79" s="152"/>
      <c r="X79" s="147"/>
      <c r="AA79" s="152"/>
      <c r="AB79" s="147"/>
      <c r="AC79" s="147"/>
    </row>
    <row r="80" spans="1:29" s="149" customFormat="1" ht="36.75" customHeight="1" x14ac:dyDescent="0.4">
      <c r="C80" s="429"/>
      <c r="D80" s="430"/>
      <c r="H80" s="387"/>
      <c r="I80" s="387"/>
      <c r="J80" s="387"/>
      <c r="L80" s="408"/>
      <c r="M80" s="147"/>
      <c r="N80" s="148"/>
      <c r="O80" s="147"/>
      <c r="P80" s="148"/>
      <c r="U80" s="147"/>
      <c r="V80" s="152"/>
      <c r="X80" s="147"/>
      <c r="AA80" s="152"/>
      <c r="AB80" s="147"/>
      <c r="AC80" s="147"/>
    </row>
    <row r="81" spans="3:29" s="149" customFormat="1" ht="36.75" customHeight="1" x14ac:dyDescent="0.4">
      <c r="C81" s="429"/>
      <c r="D81" s="430"/>
      <c r="H81" s="387"/>
      <c r="I81" s="387"/>
      <c r="J81" s="387"/>
      <c r="L81" s="408"/>
      <c r="M81" s="147"/>
      <c r="N81" s="148"/>
      <c r="O81" s="147"/>
      <c r="P81" s="148"/>
      <c r="U81" s="147"/>
      <c r="V81" s="152"/>
      <c r="X81" s="147"/>
      <c r="AA81" s="152"/>
      <c r="AB81" s="147"/>
      <c r="AC81" s="147"/>
    </row>
    <row r="82" spans="3:29" s="149" customFormat="1" ht="36.75" customHeight="1" x14ac:dyDescent="0.4">
      <c r="C82" s="429"/>
      <c r="D82" s="430"/>
      <c r="H82" s="387"/>
      <c r="I82" s="387"/>
      <c r="J82" s="387"/>
      <c r="L82" s="408"/>
      <c r="M82" s="147"/>
      <c r="N82" s="148"/>
      <c r="O82" s="147"/>
      <c r="P82" s="148"/>
      <c r="U82" s="147"/>
      <c r="V82" s="152"/>
      <c r="X82" s="147"/>
      <c r="AA82" s="152"/>
      <c r="AB82" s="147"/>
      <c r="AC82" s="147"/>
    </row>
    <row r="83" spans="3:29" s="149" customFormat="1" ht="36.75" customHeight="1" x14ac:dyDescent="0.4">
      <c r="C83" s="429"/>
      <c r="D83" s="430"/>
      <c r="H83" s="387"/>
      <c r="I83" s="387"/>
      <c r="J83" s="387"/>
      <c r="L83" s="408"/>
      <c r="M83" s="147"/>
      <c r="N83" s="148"/>
      <c r="O83" s="147"/>
      <c r="P83" s="148"/>
      <c r="U83" s="147"/>
      <c r="V83" s="152"/>
      <c r="X83" s="147"/>
      <c r="AA83" s="152"/>
      <c r="AB83" s="147"/>
      <c r="AC83" s="147"/>
    </row>
    <row r="84" spans="3:29" s="149" customFormat="1" ht="36.75" customHeight="1" x14ac:dyDescent="0.4">
      <c r="C84" s="429"/>
      <c r="D84" s="430"/>
      <c r="H84" s="387"/>
      <c r="I84" s="387"/>
      <c r="J84" s="387"/>
      <c r="L84" s="408"/>
      <c r="M84" s="147"/>
      <c r="N84" s="148"/>
      <c r="O84" s="147"/>
      <c r="P84" s="148"/>
      <c r="U84" s="147"/>
      <c r="V84" s="152"/>
      <c r="X84" s="147"/>
      <c r="AA84" s="152"/>
      <c r="AB84" s="147"/>
      <c r="AC84" s="147"/>
    </row>
    <row r="85" spans="3:29" x14ac:dyDescent="0.25">
      <c r="C85" s="3"/>
      <c r="D85" s="4"/>
    </row>
    <row r="86" spans="3:29" x14ac:dyDescent="0.25">
      <c r="C86" s="3"/>
      <c r="D86" s="4"/>
    </row>
    <row r="87" spans="3:29" x14ac:dyDescent="0.25">
      <c r="C87" s="3"/>
      <c r="D87" s="4"/>
    </row>
    <row r="88" spans="3:29" x14ac:dyDescent="0.25">
      <c r="C88" s="3"/>
      <c r="D88" s="4"/>
    </row>
  </sheetData>
  <dataConsolidate function="product" link="1">
    <dataRefs count="3">
      <dataRef ref="A30:H35" sheet="PTLL" r:id="rId1"/>
      <dataRef ref="A30:XFD35" sheet="PTLL" r:id="rId2"/>
      <dataRef name="Thi công " r:id="rId3"/>
    </dataRefs>
  </dataConsolidate>
  <mergeCells count="64">
    <mergeCell ref="A1:L1"/>
    <mergeCell ref="A2:A3"/>
    <mergeCell ref="B2:B3"/>
    <mergeCell ref="C2:C3"/>
    <mergeCell ref="D2:D3"/>
    <mergeCell ref="C52:D52"/>
    <mergeCell ref="J52:K52"/>
    <mergeCell ref="O52:P52"/>
    <mergeCell ref="W3:W4"/>
    <mergeCell ref="X3:X4"/>
    <mergeCell ref="V3:V4"/>
    <mergeCell ref="AD3:AD4"/>
    <mergeCell ref="E47:F47"/>
    <mergeCell ref="E48:F48"/>
    <mergeCell ref="E49:F49"/>
    <mergeCell ref="E50:F50"/>
    <mergeCell ref="Y3:Y4"/>
    <mergeCell ref="Z3:Z4"/>
    <mergeCell ref="AA3:AA4"/>
    <mergeCell ref="AB3:AB4"/>
    <mergeCell ref="L2:L3"/>
    <mergeCell ref="K2:K3"/>
    <mergeCell ref="O60:P60"/>
    <mergeCell ref="C53:D53"/>
    <mergeCell ref="C54:D54"/>
    <mergeCell ref="C56:D56"/>
    <mergeCell ref="J56:K56"/>
    <mergeCell ref="O56:P56"/>
    <mergeCell ref="J57:K57"/>
    <mergeCell ref="O57:P57"/>
    <mergeCell ref="C58:D58"/>
    <mergeCell ref="C59:D59"/>
    <mergeCell ref="C60:D60"/>
    <mergeCell ref="J60:K60"/>
    <mergeCell ref="C61:D61"/>
    <mergeCell ref="J61:K61"/>
    <mergeCell ref="O61:P61"/>
    <mergeCell ref="C62:D62"/>
    <mergeCell ref="J62:K62"/>
    <mergeCell ref="O62:P62"/>
    <mergeCell ref="C63:D63"/>
    <mergeCell ref="J63:K63"/>
    <mergeCell ref="O63:P63"/>
    <mergeCell ref="C64:D64"/>
    <mergeCell ref="J64:K64"/>
    <mergeCell ref="O64:P64"/>
    <mergeCell ref="C65:D65"/>
    <mergeCell ref="J65:K65"/>
    <mergeCell ref="O65:P65"/>
    <mergeCell ref="C66:D66"/>
    <mergeCell ref="J66:K66"/>
    <mergeCell ref="O66:P66"/>
    <mergeCell ref="O67:P67"/>
    <mergeCell ref="C68:D68"/>
    <mergeCell ref="C69:D69"/>
    <mergeCell ref="C70:D70"/>
    <mergeCell ref="J70:K70"/>
    <mergeCell ref="O70:P70"/>
    <mergeCell ref="C71:D71"/>
    <mergeCell ref="J72:L72"/>
    <mergeCell ref="J73:L73"/>
    <mergeCell ref="J77:L77"/>
    <mergeCell ref="C67:D67"/>
    <mergeCell ref="J67:K67"/>
  </mergeCells>
  <hyperlinks>
    <hyperlink ref="M34" r:id="rId4"/>
  </hyperlinks>
  <printOptions horizontalCentered="1"/>
  <pageMargins left="0.25" right="0.25" top="0.25" bottom="0" header="0" footer="0"/>
  <pageSetup scale="16" fitToHeight="0" orientation="landscape" r:id="rId5"/>
  <headerFooter scaleWithDoc="0">
    <oddFooter>&amp;C&amp;"Times New Roman,Regular"&amp;8 157.2025/BG-TSI-SRR.E&amp;R&amp;"Times New Roman,Regular"&amp;8Trang &amp;P/&amp;N</oddFooter>
  </headerFooter>
  <rowBreaks count="2" manualBreakCount="2">
    <brk id="25" max="11" man="1"/>
    <brk id="4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58"/>
  <sheetViews>
    <sheetView view="pageBreakPreview" topLeftCell="A11" zoomScale="40" zoomScaleNormal="55" zoomScaleSheetLayoutView="40" workbookViewId="0">
      <selection activeCell="B29" sqref="B29"/>
    </sheetView>
  </sheetViews>
  <sheetFormatPr defaultRowHeight="15" x14ac:dyDescent="0.25"/>
  <cols>
    <col min="1" max="1" width="12.85546875" customWidth="1"/>
    <col min="2" max="2" width="39.7109375" customWidth="1"/>
    <col min="3" max="3" width="90" customWidth="1"/>
    <col min="4" max="4" width="18.5703125" customWidth="1"/>
    <col min="5" max="5" width="22.5703125" customWidth="1"/>
    <col min="6" max="6" width="26.7109375" customWidth="1"/>
    <col min="7" max="7" width="25.140625" customWidth="1"/>
    <col min="8" max="8" width="49.85546875" customWidth="1"/>
  </cols>
  <sheetData>
    <row r="2" spans="1:8" ht="45.75" x14ac:dyDescent="0.25">
      <c r="A2" s="743" t="s">
        <v>342</v>
      </c>
      <c r="B2" s="743"/>
      <c r="C2" s="743"/>
      <c r="D2" s="743"/>
      <c r="E2" s="743"/>
      <c r="F2" s="743"/>
      <c r="G2" s="743"/>
      <c r="H2" s="743"/>
    </row>
    <row r="3" spans="1:8" ht="33" x14ac:dyDescent="0.25">
      <c r="A3" s="19"/>
      <c r="B3" s="19"/>
      <c r="C3" s="19"/>
      <c r="D3" s="19"/>
      <c r="E3" s="20"/>
      <c r="F3" s="20"/>
      <c r="G3" s="20"/>
      <c r="H3" s="22"/>
    </row>
    <row r="4" spans="1:8" ht="66" x14ac:dyDescent="0.25">
      <c r="A4" s="23" t="s">
        <v>1</v>
      </c>
      <c r="B4" s="24" t="s">
        <v>191</v>
      </c>
      <c r="C4" s="24" t="s">
        <v>267</v>
      </c>
      <c r="D4" s="24" t="s">
        <v>20</v>
      </c>
      <c r="E4" s="24" t="s">
        <v>21</v>
      </c>
      <c r="F4" s="664" t="s">
        <v>357</v>
      </c>
      <c r="G4" s="664" t="s">
        <v>358</v>
      </c>
      <c r="H4" s="26" t="s">
        <v>22</v>
      </c>
    </row>
    <row r="5" spans="1:8" ht="54.75" customHeight="1" x14ac:dyDescent="0.25">
      <c r="A5" s="27" t="s">
        <v>102</v>
      </c>
      <c r="B5" s="28"/>
      <c r="C5" s="29"/>
      <c r="D5" s="29"/>
      <c r="E5" s="29"/>
      <c r="F5" s="29"/>
      <c r="G5" s="29"/>
      <c r="H5" s="31"/>
    </row>
    <row r="6" spans="1:8" ht="184.5" x14ac:dyDescent="0.25">
      <c r="A6" s="56">
        <f>_xlfn.AGGREGATE(3,3,$B$6:B6)</f>
        <v>1</v>
      </c>
      <c r="B6" s="57" t="str">
        <f>'PTLL (2)'!B5</f>
        <v>Camera IP Dome 2MP HIKVISION
DS-2CD1121G0-I</v>
      </c>
      <c r="C6" s="602" t="s">
        <v>322</v>
      </c>
      <c r="D6" s="56" t="str">
        <f>VLOOKUP(B6,'PTLL (2)'!$B$5:$J$42,2,0)</f>
        <v>Cái</v>
      </c>
      <c r="E6" s="59">
        <f>Sheet3!O4</f>
        <v>94</v>
      </c>
      <c r="F6" s="672">
        <v>8.5000000000000006E-2</v>
      </c>
      <c r="G6" s="666">
        <f>E6*F6</f>
        <v>7.99</v>
      </c>
      <c r="H6" s="603"/>
    </row>
    <row r="7" spans="1:8" ht="184.5" x14ac:dyDescent="0.25">
      <c r="A7" s="56">
        <f>_xlfn.AGGREGATE(3,3,$B$6:B7)</f>
        <v>2</v>
      </c>
      <c r="B7" s="57" t="str">
        <f>'PTLL (2)'!B7</f>
        <v>Đầu ghi hình camera IP 32 kênh HIKVISION DS-7732NXI-K4</v>
      </c>
      <c r="C7" s="604" t="s">
        <v>323</v>
      </c>
      <c r="D7" s="56" t="str">
        <f>VLOOKUP(B7,'PTLL (2)'!$B$5:$J$42,2,0)</f>
        <v>Cái</v>
      </c>
      <c r="E7" s="59">
        <v>1</v>
      </c>
      <c r="F7" s="672">
        <v>0.12</v>
      </c>
      <c r="G7" s="666">
        <f t="shared" ref="G7:G17" si="0">E7*F7</f>
        <v>0.12</v>
      </c>
      <c r="H7" s="60"/>
    </row>
    <row r="8" spans="1:8" ht="184.5" x14ac:dyDescent="0.25">
      <c r="A8" s="56">
        <f>_xlfn.AGGREGATE(3,3,$B$6:B8)</f>
        <v>3</v>
      </c>
      <c r="B8" s="57" t="s">
        <v>350</v>
      </c>
      <c r="C8" s="604" t="s">
        <v>340</v>
      </c>
      <c r="D8" s="56" t="s">
        <v>3</v>
      </c>
      <c r="E8" s="59">
        <v>1</v>
      </c>
      <c r="F8" s="672">
        <v>0.12</v>
      </c>
      <c r="G8" s="666">
        <f t="shared" si="0"/>
        <v>0.12</v>
      </c>
      <c r="H8" s="60"/>
    </row>
    <row r="9" spans="1:8" ht="123" x14ac:dyDescent="0.25">
      <c r="A9" s="56">
        <f>_xlfn.AGGREGATE(3,3,$B$6:B9)</f>
        <v>4</v>
      </c>
      <c r="B9" s="57" t="s">
        <v>302</v>
      </c>
      <c r="C9" s="604" t="s">
        <v>316</v>
      </c>
      <c r="D9" s="56" t="s">
        <v>3</v>
      </c>
      <c r="E9" s="59">
        <v>6</v>
      </c>
      <c r="F9" s="672">
        <v>0.2</v>
      </c>
      <c r="G9" s="666">
        <f t="shared" si="0"/>
        <v>1.2000000000000002</v>
      </c>
      <c r="H9" s="604"/>
    </row>
    <row r="10" spans="1:8" ht="307.5" x14ac:dyDescent="0.25">
      <c r="A10" s="56">
        <f>_xlfn.AGGREGATE(3,3,$B$6:B10)</f>
        <v>5</v>
      </c>
      <c r="B10" s="57" t="str">
        <f>'PTLL (2)'!B9</f>
        <v>Switch Hikvision POE 24 cổng DS-3E1326P-EI</v>
      </c>
      <c r="C10" s="605" t="s">
        <v>317</v>
      </c>
      <c r="D10" s="56" t="str">
        <f>VLOOKUP(B10,'PTLL (2)'!$B$5:$J$42,2,0)</f>
        <v>Cái</v>
      </c>
      <c r="E10" s="59">
        <f>Sheet3!O5</f>
        <v>5</v>
      </c>
      <c r="F10" s="672">
        <v>0.18</v>
      </c>
      <c r="G10" s="666">
        <f t="shared" si="0"/>
        <v>0.89999999999999991</v>
      </c>
      <c r="H10" s="60"/>
    </row>
    <row r="11" spans="1:8" ht="232.5" customHeight="1" x14ac:dyDescent="0.25">
      <c r="A11" s="56">
        <f>_xlfn.AGGREGATE(3,3,$B$6:B11)</f>
        <v>6</v>
      </c>
      <c r="B11" s="57" t="str">
        <f>'PTLL (2)'!B10</f>
        <v>Switch Hikvision POE 16 cổng DS-3E1318P-EI</v>
      </c>
      <c r="C11" s="606" t="s">
        <v>318</v>
      </c>
      <c r="D11" s="56" t="str">
        <f>VLOOKUP(B11,'PTLL (2)'!$B$5:$J$42,2,0)</f>
        <v>Cái</v>
      </c>
      <c r="E11" s="59">
        <f>Sheet3!O6</f>
        <v>1</v>
      </c>
      <c r="F11" s="672">
        <v>0.18</v>
      </c>
      <c r="G11" s="666">
        <f t="shared" si="0"/>
        <v>0.18</v>
      </c>
      <c r="H11" s="60"/>
    </row>
    <row r="12" spans="1:8" ht="99" x14ac:dyDescent="0.25">
      <c r="A12" s="56">
        <f>_xlfn.AGGREGATE(3,3,$B$6:B12)</f>
        <v>7</v>
      </c>
      <c r="B12" s="57" t="str">
        <f>'PTLL (2)'!B11</f>
        <v>Switch 16 port CISCO CBS110-16T-EU</v>
      </c>
      <c r="C12" s="605" t="s">
        <v>319</v>
      </c>
      <c r="D12" s="56" t="str">
        <f>VLOOKUP(B12,'PTLL (2)'!$B$5:$J$42,2,0)</f>
        <v>Cái</v>
      </c>
      <c r="E12" s="59">
        <v>1</v>
      </c>
      <c r="F12" s="672">
        <v>0.18</v>
      </c>
      <c r="G12" s="666">
        <f t="shared" si="0"/>
        <v>0.18</v>
      </c>
      <c r="H12" s="130"/>
    </row>
    <row r="13" spans="1:8" ht="57.75" customHeight="1" x14ac:dyDescent="0.25">
      <c r="A13" s="56">
        <f>_xlfn.AGGREGATE(3,3,$B$6:B13)</f>
        <v>8</v>
      </c>
      <c r="B13" s="607" t="s">
        <v>335</v>
      </c>
      <c r="C13" s="608"/>
      <c r="D13" s="56" t="s">
        <v>146</v>
      </c>
      <c r="E13" s="59">
        <v>1</v>
      </c>
      <c r="F13" s="672">
        <v>0.34</v>
      </c>
      <c r="G13" s="666">
        <f t="shared" si="0"/>
        <v>0.34</v>
      </c>
      <c r="H13" s="130"/>
    </row>
    <row r="14" spans="1:8" ht="48" hidden="1" customHeight="1" x14ac:dyDescent="0.25">
      <c r="A14" s="56">
        <f>_xlfn.AGGREGATE(3,3,$B$6:B14)</f>
        <v>8</v>
      </c>
      <c r="B14" s="740" t="str">
        <f>'PTLL (2)'!B12</f>
        <v>Màn hình quan sát SamSung 43inch</v>
      </c>
      <c r="C14" s="741"/>
      <c r="D14" s="599" t="str">
        <f>VLOOKUP(B14,'PTLL (2)'!$B$5:$J$42,2,0)</f>
        <v>Cái</v>
      </c>
      <c r="E14" s="600">
        <f>VLOOKUP(B14,'PTLL (2)'!$B$5:$J$42,3,0)</f>
        <v>4</v>
      </c>
      <c r="F14" s="672">
        <v>0.34</v>
      </c>
      <c r="G14" s="666">
        <f t="shared" si="0"/>
        <v>1.36</v>
      </c>
      <c r="H14" s="601"/>
    </row>
    <row r="15" spans="1:8" ht="48" hidden="1" customHeight="1" x14ac:dyDescent="0.25">
      <c r="A15" s="56">
        <f>_xlfn.AGGREGATE(3,3,$B$6:B15)</f>
        <v>8</v>
      </c>
      <c r="B15" s="114" t="str">
        <f>'PTLL (2)'!B13</f>
        <v>Khung kệ tivi</v>
      </c>
      <c r="C15" s="115"/>
      <c r="D15" s="35" t="str">
        <f>VLOOKUP(B15,'PTLL (2)'!$B$5:$J$42,2,0)</f>
        <v>Cái</v>
      </c>
      <c r="E15" s="104">
        <f>VLOOKUP(B15,'PTLL (2)'!$B$5:$J$42,3,0)</f>
        <v>4</v>
      </c>
      <c r="F15" s="672">
        <v>0.34</v>
      </c>
      <c r="G15" s="666">
        <f t="shared" si="0"/>
        <v>1.36</v>
      </c>
      <c r="H15" s="39"/>
    </row>
    <row r="16" spans="1:8" ht="48" hidden="1" customHeight="1" x14ac:dyDescent="0.25">
      <c r="A16" s="56">
        <f>_xlfn.AGGREGATE(3,3,$B$6:B16)</f>
        <v>8</v>
      </c>
      <c r="B16" s="118" t="str">
        <f>'PTLL (2)'!B14</f>
        <v>Cáp HDMI 15m Unitek</v>
      </c>
      <c r="C16" s="116"/>
      <c r="D16" s="106" t="str">
        <f>VLOOKUP(B16,'PTLL (2)'!$B$5:$J$42,2,0)</f>
        <v xml:space="preserve">Sợi </v>
      </c>
      <c r="E16" s="107">
        <f>VLOOKUP(B16,'PTLL (2)'!$B$5:$J$42,3,0)</f>
        <v>4</v>
      </c>
      <c r="F16" s="672">
        <v>0.34</v>
      </c>
      <c r="G16" s="666">
        <f t="shared" si="0"/>
        <v>1.36</v>
      </c>
      <c r="H16" s="117"/>
    </row>
    <row r="17" spans="1:8" ht="48" customHeight="1" x14ac:dyDescent="0.25">
      <c r="A17" s="56">
        <f>_xlfn.AGGREGATE(3,3,$B$6:B17)</f>
        <v>9</v>
      </c>
      <c r="B17" s="607" t="s">
        <v>339</v>
      </c>
      <c r="C17" s="608"/>
      <c r="D17" s="56" t="s">
        <v>146</v>
      </c>
      <c r="E17" s="59">
        <v>1</v>
      </c>
      <c r="F17" s="672">
        <v>0.34</v>
      </c>
      <c r="G17" s="666">
        <f t="shared" si="0"/>
        <v>0.34</v>
      </c>
      <c r="H17" s="656"/>
    </row>
    <row r="18" spans="1:8" ht="51" customHeight="1" x14ac:dyDescent="0.25">
      <c r="A18" s="45" t="s">
        <v>103</v>
      </c>
      <c r="B18" s="45"/>
      <c r="C18" s="46"/>
      <c r="D18" s="46"/>
      <c r="E18" s="644"/>
      <c r="F18" s="671"/>
      <c r="G18" s="644"/>
      <c r="H18" s="48"/>
    </row>
    <row r="19" spans="1:8" ht="72.75" customHeight="1" x14ac:dyDescent="0.25">
      <c r="A19" s="56">
        <v>1</v>
      </c>
      <c r="B19" s="742" t="str">
        <f>'PTLL (2)'!B16</f>
        <v xml:space="preserve">Cáp quang 4FO </v>
      </c>
      <c r="C19" s="742"/>
      <c r="D19" s="56" t="str">
        <f>VLOOKUP(B19,'PTLL (2)'!$B$5:$J$42,2,0)</f>
        <v xml:space="preserve">Mét </v>
      </c>
      <c r="E19" s="628">
        <v>300</v>
      </c>
      <c r="F19" s="672">
        <v>7.0000000000000001E-3</v>
      </c>
      <c r="G19" s="669">
        <f>E19*F19</f>
        <v>2.1</v>
      </c>
      <c r="H19" s="610"/>
    </row>
    <row r="20" spans="1:8" ht="72.75" customHeight="1" x14ac:dyDescent="0.25">
      <c r="A20" s="56">
        <v>2</v>
      </c>
      <c r="B20" s="744" t="str">
        <f>'PTLL (2)'!B17</f>
        <v>Cáp mạng Cat5E</v>
      </c>
      <c r="C20" s="744"/>
      <c r="D20" s="56" t="str">
        <f>VLOOKUP(B20,'PTLL (2)'!$B$5:$J$42,2,0)</f>
        <v xml:space="preserve">Mét </v>
      </c>
      <c r="E20" s="628">
        <v>2800</v>
      </c>
      <c r="F20" s="672">
        <v>0.01</v>
      </c>
      <c r="G20" s="669">
        <f t="shared" ref="G20:G24" si="1">E20*F20</f>
        <v>28</v>
      </c>
      <c r="H20" s="60" t="s">
        <v>307</v>
      </c>
    </row>
    <row r="21" spans="1:8" ht="72.75" customHeight="1" x14ac:dyDescent="0.25">
      <c r="A21" s="56">
        <v>3</v>
      </c>
      <c r="B21" s="744" t="s">
        <v>308</v>
      </c>
      <c r="C21" s="744"/>
      <c r="D21" s="56" t="s">
        <v>146</v>
      </c>
      <c r="E21" s="59">
        <f>Sheet3!R5</f>
        <v>2</v>
      </c>
      <c r="F21" s="672">
        <v>1.7999999999999999E-2</v>
      </c>
      <c r="G21" s="669">
        <f t="shared" si="1"/>
        <v>3.5999999999999997E-2</v>
      </c>
      <c r="H21" s="60"/>
    </row>
    <row r="22" spans="1:8" ht="72.75" customHeight="1" x14ac:dyDescent="0.25">
      <c r="A22" s="56">
        <v>5</v>
      </c>
      <c r="B22" s="744" t="s">
        <v>309</v>
      </c>
      <c r="C22" s="744"/>
      <c r="D22" s="56" t="s">
        <v>146</v>
      </c>
      <c r="E22" s="59">
        <f>Sheet3!R3</f>
        <v>2</v>
      </c>
      <c r="F22" s="672">
        <v>0.76500000000000001</v>
      </c>
      <c r="G22" s="669">
        <f t="shared" si="1"/>
        <v>1.53</v>
      </c>
      <c r="H22" s="60"/>
    </row>
    <row r="23" spans="1:8" ht="72.75" customHeight="1" x14ac:dyDescent="0.25">
      <c r="A23" s="56">
        <v>6</v>
      </c>
      <c r="B23" s="745" t="s">
        <v>343</v>
      </c>
      <c r="C23" s="746"/>
      <c r="D23" s="56" t="s">
        <v>146</v>
      </c>
      <c r="E23" s="59">
        <v>1</v>
      </c>
      <c r="F23" s="672">
        <v>0</v>
      </c>
      <c r="G23" s="669">
        <f t="shared" si="1"/>
        <v>0</v>
      </c>
      <c r="H23" s="60" t="s">
        <v>344</v>
      </c>
    </row>
    <row r="24" spans="1:8" ht="72.75" customHeight="1" x14ac:dyDescent="0.25">
      <c r="A24" s="56">
        <v>7</v>
      </c>
      <c r="B24" s="744" t="s">
        <v>337</v>
      </c>
      <c r="C24" s="744"/>
      <c r="D24" s="56" t="s">
        <v>3</v>
      </c>
      <c r="E24" s="59">
        <v>1</v>
      </c>
      <c r="F24" s="672">
        <v>1</v>
      </c>
      <c r="G24" s="669">
        <f t="shared" si="1"/>
        <v>1</v>
      </c>
      <c r="H24" s="60"/>
    </row>
    <row r="25" spans="1:8" ht="51" customHeight="1" x14ac:dyDescent="0.25">
      <c r="A25" s="27" t="s">
        <v>104</v>
      </c>
      <c r="B25" s="49"/>
      <c r="C25" s="50"/>
      <c r="D25" s="49"/>
      <c r="E25" s="645"/>
      <c r="F25" s="645"/>
      <c r="G25" s="645"/>
      <c r="H25" s="54"/>
    </row>
    <row r="26" spans="1:8" ht="64.5" customHeight="1" x14ac:dyDescent="0.25">
      <c r="A26" s="56">
        <v>1</v>
      </c>
      <c r="B26" s="607" t="str">
        <f>'PTLL (2)'!B24</f>
        <v>Dây điện CVV 2x2.5</v>
      </c>
      <c r="C26" s="603"/>
      <c r="D26" s="56" t="str">
        <f>VLOOKUP(B26,'PTLL (2)'!$B$5:$J$42,2,0)</f>
        <v xml:space="preserve">Mét </v>
      </c>
      <c r="E26" s="628">
        <v>20</v>
      </c>
      <c r="F26" s="672">
        <v>0.01</v>
      </c>
      <c r="G26" s="669">
        <f>E26*F26</f>
        <v>0.2</v>
      </c>
      <c r="H26" s="609"/>
    </row>
    <row r="27" spans="1:8" ht="64.5" customHeight="1" x14ac:dyDescent="0.25">
      <c r="A27" s="56">
        <v>2</v>
      </c>
      <c r="B27" s="607" t="str">
        <f>'PTLL (2)'!B25</f>
        <v>Thanh nguồn PDU đa năng 6 ổ cắm 3 chấu chuẩn 19"</v>
      </c>
      <c r="C27" s="60"/>
      <c r="D27" s="56" t="str">
        <f>VLOOKUP(B27,'PTLL (2)'!$B$5:$J$42,2,0)</f>
        <v>Cái</v>
      </c>
      <c r="E27" s="59">
        <f>Sheet3!R4+1</f>
        <v>3</v>
      </c>
      <c r="F27" s="672">
        <v>0.04</v>
      </c>
      <c r="G27" s="669">
        <f>E27*F27</f>
        <v>0.12</v>
      </c>
      <c r="H27" s="609" t="s">
        <v>333</v>
      </c>
    </row>
    <row r="28" spans="1:8" ht="64.5" customHeight="1" x14ac:dyDescent="0.25">
      <c r="A28" s="27" t="s">
        <v>105</v>
      </c>
      <c r="B28" s="49"/>
      <c r="C28" s="50"/>
      <c r="D28" s="49"/>
      <c r="E28" s="645"/>
      <c r="F28" s="645"/>
      <c r="G28" s="670"/>
      <c r="H28" s="54"/>
    </row>
    <row r="29" spans="1:8" ht="64.5" customHeight="1" x14ac:dyDescent="0.25">
      <c r="A29" s="56">
        <v>1</v>
      </c>
      <c r="B29" s="607" t="s">
        <v>303</v>
      </c>
      <c r="C29" s="60"/>
      <c r="D29" s="56" t="s">
        <v>146</v>
      </c>
      <c r="E29" s="59">
        <f>Sheet3!R6</f>
        <v>2</v>
      </c>
      <c r="F29" s="672">
        <v>0.245</v>
      </c>
      <c r="G29" s="669">
        <f t="shared" ref="G29:G41" si="2">E29*F29</f>
        <v>0.49</v>
      </c>
      <c r="H29" s="60"/>
    </row>
    <row r="30" spans="1:8" ht="64.5" customHeight="1" x14ac:dyDescent="0.25">
      <c r="A30" s="56">
        <v>3</v>
      </c>
      <c r="B30" s="607" t="s">
        <v>304</v>
      </c>
      <c r="C30" s="60"/>
      <c r="D30" s="56" t="s">
        <v>146</v>
      </c>
      <c r="E30" s="59">
        <v>1</v>
      </c>
      <c r="F30" s="672">
        <v>0.245</v>
      </c>
      <c r="G30" s="669">
        <f t="shared" si="2"/>
        <v>0.245</v>
      </c>
      <c r="H30" s="60"/>
    </row>
    <row r="31" spans="1:8" ht="51" customHeight="1" x14ac:dyDescent="0.25">
      <c r="A31" s="27" t="s">
        <v>245</v>
      </c>
      <c r="B31" s="49"/>
      <c r="C31" s="50"/>
      <c r="D31" s="49"/>
      <c r="E31" s="645"/>
      <c r="F31" s="645"/>
      <c r="G31" s="670"/>
      <c r="H31" s="54"/>
    </row>
    <row r="32" spans="1:8" ht="51" customHeight="1" x14ac:dyDescent="0.25">
      <c r="A32" s="647">
        <v>1</v>
      </c>
      <c r="B32" s="648" t="str">
        <f>'[16]ptll 61 cam'!B29</f>
        <v>Vật tư phụ</v>
      </c>
      <c r="C32" s="649" t="s">
        <v>320</v>
      </c>
      <c r="D32" s="642" t="str">
        <f>VLOOKUP(B32,'[16]ptll 61 cam'!$B$6:$K$35,4,0)</f>
        <v>Gói</v>
      </c>
      <c r="E32" s="643">
        <f>VLOOKUP(B32,'[16]ptll 61 cam'!$B$6:$K$35,5,0)</f>
        <v>1</v>
      </c>
      <c r="F32" s="665"/>
      <c r="G32" s="667"/>
      <c r="H32" s="650"/>
    </row>
    <row r="33" spans="1:8" ht="51" customHeight="1" x14ac:dyDescent="0.25">
      <c r="A33" s="56">
        <v>1.1000000000000001</v>
      </c>
      <c r="B33" s="57" t="s">
        <v>325</v>
      </c>
      <c r="C33" s="58"/>
      <c r="D33" s="56" t="s">
        <v>6</v>
      </c>
      <c r="E33" s="651">
        <v>1</v>
      </c>
      <c r="F33" s="651"/>
      <c r="G33" s="669"/>
      <c r="H33" s="60"/>
    </row>
    <row r="34" spans="1:8" ht="66" customHeight="1" x14ac:dyDescent="0.25">
      <c r="A34" s="56"/>
      <c r="B34" s="744" t="s">
        <v>326</v>
      </c>
      <c r="C34" s="744"/>
      <c r="D34" s="56" t="s">
        <v>3</v>
      </c>
      <c r="E34" s="651">
        <v>300</v>
      </c>
      <c r="F34" s="673">
        <f>0.04*2/3</f>
        <v>2.6666666666666668E-2</v>
      </c>
      <c r="G34" s="669">
        <f t="shared" si="2"/>
        <v>8</v>
      </c>
      <c r="H34" s="60"/>
    </row>
    <row r="35" spans="1:8" ht="51" customHeight="1" x14ac:dyDescent="0.25">
      <c r="A35" s="56"/>
      <c r="B35" s="744" t="s">
        <v>327</v>
      </c>
      <c r="C35" s="744"/>
      <c r="D35" s="56" t="s">
        <v>5</v>
      </c>
      <c r="E35" s="651">
        <f>E22*2</f>
        <v>4</v>
      </c>
      <c r="F35" s="672">
        <v>1.2999999999999999E-2</v>
      </c>
      <c r="G35" s="669">
        <f t="shared" si="2"/>
        <v>5.1999999999999998E-2</v>
      </c>
      <c r="H35" s="60"/>
    </row>
    <row r="36" spans="1:8" ht="51" customHeight="1" x14ac:dyDescent="0.25">
      <c r="A36" s="56"/>
      <c r="B36" s="745" t="s">
        <v>332</v>
      </c>
      <c r="C36" s="746"/>
      <c r="D36" s="56" t="s">
        <v>146</v>
      </c>
      <c r="E36" s="651">
        <f>E22</f>
        <v>2</v>
      </c>
      <c r="F36" s="672">
        <v>0.16500000000000001</v>
      </c>
      <c r="G36" s="669">
        <f t="shared" si="2"/>
        <v>0.33</v>
      </c>
      <c r="H36" s="60"/>
    </row>
    <row r="37" spans="1:8" ht="51" customHeight="1" x14ac:dyDescent="0.25">
      <c r="A37" s="56"/>
      <c r="B37" s="745" t="s">
        <v>328</v>
      </c>
      <c r="C37" s="746"/>
      <c r="D37" s="56" t="s">
        <v>5</v>
      </c>
      <c r="E37" s="651">
        <f>E35+E7+E12</f>
        <v>6</v>
      </c>
      <c r="F37" s="672">
        <v>1.2999999999999999E-2</v>
      </c>
      <c r="G37" s="669">
        <f t="shared" si="2"/>
        <v>7.8E-2</v>
      </c>
      <c r="H37" s="60" t="s">
        <v>329</v>
      </c>
    </row>
    <row r="38" spans="1:8" ht="51" customHeight="1" x14ac:dyDescent="0.25">
      <c r="A38" s="56"/>
      <c r="B38" s="744" t="s">
        <v>330</v>
      </c>
      <c r="C38" s="744"/>
      <c r="D38" s="56" t="s">
        <v>3</v>
      </c>
      <c r="E38" s="651">
        <f>E22+2</f>
        <v>4</v>
      </c>
      <c r="F38" s="672">
        <v>0.08</v>
      </c>
      <c r="G38" s="669">
        <f t="shared" si="2"/>
        <v>0.32</v>
      </c>
      <c r="H38" s="60" t="s">
        <v>329</v>
      </c>
    </row>
    <row r="39" spans="1:8" ht="71.25" customHeight="1" x14ac:dyDescent="0.25">
      <c r="A39" s="640">
        <v>1.2</v>
      </c>
      <c r="B39" s="641" t="s">
        <v>331</v>
      </c>
      <c r="C39" s="641"/>
      <c r="D39" s="640"/>
      <c r="E39" s="628"/>
      <c r="F39" s="628"/>
      <c r="G39" s="667"/>
      <c r="H39" s="660" t="s">
        <v>354</v>
      </c>
    </row>
    <row r="40" spans="1:8" ht="51" customHeight="1" x14ac:dyDescent="0.25">
      <c r="A40" s="661" t="s">
        <v>355</v>
      </c>
      <c r="B40" s="662" t="s">
        <v>351</v>
      </c>
      <c r="C40" s="662"/>
      <c r="D40" s="661" t="s">
        <v>352</v>
      </c>
      <c r="E40" s="651">
        <f>55/2*23</f>
        <v>632.5</v>
      </c>
      <c r="F40" s="672">
        <v>3.4000000000000002E-2</v>
      </c>
      <c r="G40" s="669">
        <f t="shared" si="2"/>
        <v>21.505000000000003</v>
      </c>
      <c r="H40" s="663"/>
    </row>
    <row r="41" spans="1:8" ht="51" customHeight="1" x14ac:dyDescent="0.25">
      <c r="A41" s="661" t="s">
        <v>356</v>
      </c>
      <c r="B41" s="662" t="s">
        <v>353</v>
      </c>
      <c r="C41" s="662"/>
      <c r="D41" s="661" t="s">
        <v>352</v>
      </c>
      <c r="E41" s="651">
        <v>30</v>
      </c>
      <c r="F41" s="672">
        <v>3.4000000000000002E-2</v>
      </c>
      <c r="G41" s="669">
        <f t="shared" si="2"/>
        <v>1.02</v>
      </c>
      <c r="H41" s="663"/>
    </row>
    <row r="42" spans="1:8" ht="51" customHeight="1" x14ac:dyDescent="0.25">
      <c r="A42" s="747" t="s">
        <v>246</v>
      </c>
      <c r="B42" s="748"/>
      <c r="C42" s="748"/>
      <c r="D42" s="748"/>
      <c r="E42" s="748"/>
      <c r="F42" s="659"/>
      <c r="G42" s="658"/>
      <c r="H42" s="54"/>
    </row>
    <row r="43" spans="1:8" ht="75.75" customHeight="1" x14ac:dyDescent="0.25">
      <c r="A43" s="61">
        <v>1</v>
      </c>
      <c r="B43" s="62" t="s">
        <v>108</v>
      </c>
      <c r="C43" s="63" t="s">
        <v>109</v>
      </c>
      <c r="D43" s="61" t="s">
        <v>6</v>
      </c>
      <c r="E43" s="64">
        <v>1</v>
      </c>
      <c r="F43" s="64"/>
      <c r="G43" s="64"/>
      <c r="H43" s="67"/>
    </row>
    <row r="44" spans="1:8" ht="91.9" customHeight="1" x14ac:dyDescent="0.25">
      <c r="A44" s="629">
        <v>1.1000000000000001</v>
      </c>
      <c r="B44" s="646" t="s">
        <v>321</v>
      </c>
      <c r="C44" s="630"/>
      <c r="D44" s="637" t="s">
        <v>27</v>
      </c>
      <c r="E44" s="631">
        <f>SUM(E45:E50)</f>
        <v>32</v>
      </c>
      <c r="F44" s="631"/>
      <c r="G44" s="631">
        <f>E44</f>
        <v>32</v>
      </c>
      <c r="H44" s="639" t="s">
        <v>341</v>
      </c>
    </row>
    <row r="45" spans="1:8" ht="75.75" customHeight="1" x14ac:dyDescent="0.25">
      <c r="A45" s="629"/>
      <c r="B45" s="757" t="s">
        <v>310</v>
      </c>
      <c r="C45" s="758"/>
      <c r="D45" s="637" t="s">
        <v>27</v>
      </c>
      <c r="E45" s="631">
        <v>6</v>
      </c>
      <c r="F45" s="631"/>
      <c r="G45" s="631"/>
      <c r="H45" s="632"/>
    </row>
    <row r="46" spans="1:8" ht="75.75" customHeight="1" x14ac:dyDescent="0.25">
      <c r="A46" s="629"/>
      <c r="B46" s="755" t="s">
        <v>311</v>
      </c>
      <c r="C46" s="756"/>
      <c r="D46" s="637" t="s">
        <v>27</v>
      </c>
      <c r="E46" s="631">
        <v>4</v>
      </c>
      <c r="F46" s="631"/>
      <c r="G46" s="631"/>
      <c r="H46" s="632"/>
    </row>
    <row r="47" spans="1:8" ht="75.75" customHeight="1" x14ac:dyDescent="0.25">
      <c r="A47" s="629"/>
      <c r="B47" s="755" t="s">
        <v>314</v>
      </c>
      <c r="C47" s="756"/>
      <c r="D47" s="637" t="s">
        <v>27</v>
      </c>
      <c r="E47" s="631">
        <v>4</v>
      </c>
      <c r="F47" s="631"/>
      <c r="G47" s="631"/>
      <c r="H47" s="632"/>
    </row>
    <row r="48" spans="1:8" ht="75.75" customHeight="1" x14ac:dyDescent="0.25">
      <c r="A48" s="629"/>
      <c r="B48" s="752" t="s">
        <v>334</v>
      </c>
      <c r="C48" s="753"/>
      <c r="D48" s="637" t="s">
        <v>27</v>
      </c>
      <c r="E48" s="631">
        <v>4</v>
      </c>
      <c r="F48" s="631"/>
      <c r="G48" s="631"/>
      <c r="H48" s="632"/>
    </row>
    <row r="49" spans="1:8" ht="75.75" customHeight="1" x14ac:dyDescent="0.25">
      <c r="A49" s="629"/>
      <c r="B49" s="755" t="s">
        <v>312</v>
      </c>
      <c r="C49" s="756"/>
      <c r="D49" s="637" t="s">
        <v>27</v>
      </c>
      <c r="E49" s="631">
        <v>2</v>
      </c>
      <c r="F49" s="631"/>
      <c r="G49" s="631"/>
      <c r="H49" s="632"/>
    </row>
    <row r="50" spans="1:8" ht="75.75" customHeight="1" x14ac:dyDescent="0.25">
      <c r="A50" s="629"/>
      <c r="B50" s="755" t="s">
        <v>313</v>
      </c>
      <c r="C50" s="756"/>
      <c r="D50" s="637" t="s">
        <v>27</v>
      </c>
      <c r="E50" s="631">
        <v>12</v>
      </c>
      <c r="F50" s="631"/>
      <c r="G50" s="631"/>
      <c r="H50" s="632"/>
    </row>
    <row r="51" spans="1:8" ht="39" customHeight="1" x14ac:dyDescent="0.25">
      <c r="A51" s="633">
        <v>1.2</v>
      </c>
      <c r="B51" s="634" t="s">
        <v>315</v>
      </c>
      <c r="C51" s="634"/>
      <c r="D51" s="638" t="s">
        <v>27</v>
      </c>
      <c r="E51" s="635"/>
      <c r="F51" s="635"/>
      <c r="G51" s="668">
        <f>SUM(G6:G50)</f>
        <v>112.476</v>
      </c>
      <c r="H51" s="636"/>
    </row>
    <row r="52" spans="1:8" ht="39" customHeight="1" x14ac:dyDescent="0.25">
      <c r="A52" s="74"/>
      <c r="B52" s="81"/>
      <c r="C52" s="81"/>
      <c r="D52" s="76"/>
      <c r="E52" s="77"/>
      <c r="F52" s="657"/>
      <c r="G52" s="657"/>
      <c r="H52" s="79"/>
    </row>
    <row r="53" spans="1:8" ht="39" customHeight="1" x14ac:dyDescent="0.25">
      <c r="A53" s="74"/>
      <c r="B53" s="80"/>
      <c r="C53" s="80"/>
      <c r="D53" s="749" t="s">
        <v>359</v>
      </c>
      <c r="E53" s="749"/>
      <c r="F53" s="749"/>
      <c r="G53" s="749"/>
      <c r="H53" s="750"/>
    </row>
    <row r="54" spans="1:8" ht="39" customHeight="1" x14ac:dyDescent="0.25">
      <c r="A54" s="74"/>
      <c r="B54" s="759" t="s">
        <v>315</v>
      </c>
      <c r="C54" s="759"/>
      <c r="D54" s="749" t="s">
        <v>360</v>
      </c>
      <c r="E54" s="749"/>
      <c r="F54" s="749"/>
      <c r="G54" s="749"/>
      <c r="H54" s="750"/>
    </row>
    <row r="55" spans="1:8" ht="118.5" customHeight="1" x14ac:dyDescent="0.25">
      <c r="A55" s="754"/>
      <c r="B55" s="754"/>
      <c r="C55" s="754"/>
      <c r="D55" s="89"/>
      <c r="E55" s="90"/>
      <c r="F55" s="90"/>
      <c r="G55" s="90"/>
      <c r="H55" s="620"/>
    </row>
    <row r="56" spans="1:8" ht="27.75" customHeight="1" x14ac:dyDescent="0.25">
      <c r="A56" s="91"/>
      <c r="B56" s="92"/>
      <c r="C56" s="93"/>
      <c r="D56" s="751" t="s">
        <v>324</v>
      </c>
      <c r="E56" s="751"/>
      <c r="F56" s="751"/>
      <c r="G56" s="751"/>
      <c r="H56" s="751"/>
    </row>
    <row r="57" spans="1:8" ht="39" customHeight="1" x14ac:dyDescent="0.25">
      <c r="A57" s="96"/>
      <c r="B57" s="97"/>
      <c r="C57" s="98"/>
      <c r="D57" s="96"/>
      <c r="E57" s="96"/>
      <c r="F57" s="96"/>
      <c r="G57" s="96"/>
      <c r="H57" s="96"/>
    </row>
    <row r="58" spans="1:8" ht="39" customHeight="1" x14ac:dyDescent="0.25"/>
  </sheetData>
  <mergeCells count="25">
    <mergeCell ref="D54:H54"/>
    <mergeCell ref="D56:H56"/>
    <mergeCell ref="B35:C35"/>
    <mergeCell ref="B34:C34"/>
    <mergeCell ref="B37:C37"/>
    <mergeCell ref="B38:C38"/>
    <mergeCell ref="B36:C36"/>
    <mergeCell ref="B48:C48"/>
    <mergeCell ref="A55:C55"/>
    <mergeCell ref="B50:C50"/>
    <mergeCell ref="B49:C49"/>
    <mergeCell ref="B47:C47"/>
    <mergeCell ref="B46:C46"/>
    <mergeCell ref="B45:C45"/>
    <mergeCell ref="B54:C54"/>
    <mergeCell ref="B23:C23"/>
    <mergeCell ref="B24:C24"/>
    <mergeCell ref="A42:E42"/>
    <mergeCell ref="B20:C20"/>
    <mergeCell ref="D53:H53"/>
    <mergeCell ref="B14:C14"/>
    <mergeCell ref="B19:C19"/>
    <mergeCell ref="A2:H2"/>
    <mergeCell ref="B21:C21"/>
    <mergeCell ref="B22:C22"/>
  </mergeCells>
  <pageMargins left="0.3" right="0.25" top="0.35" bottom="0.2" header="0.31496062992126" footer="0.2"/>
  <pageSetup scale="35" fitToHeight="0" orientation="portrait" r:id="rId1"/>
  <headerFooter scaleWithDoc="0">
    <oddFooter>&amp;R&amp;"Times New Roman,Regular"&amp;8Trang &amp;P/&amp;N</oddFooter>
  </headerFooter>
  <rowBreaks count="1" manualBreakCount="1">
    <brk id="2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7"/>
  <sheetViews>
    <sheetView view="pageBreakPreview" zoomScale="55" zoomScaleNormal="55" zoomScaleSheetLayoutView="55" workbookViewId="0">
      <selection activeCell="E12" sqref="E12"/>
    </sheetView>
  </sheetViews>
  <sheetFormatPr defaultRowHeight="15" x14ac:dyDescent="0.25"/>
  <cols>
    <col min="1" max="1" width="12.85546875" customWidth="1"/>
    <col min="2" max="2" width="34.5703125" customWidth="1"/>
    <col min="3" max="3" width="90" customWidth="1"/>
    <col min="4" max="4" width="18.5703125" customWidth="1"/>
    <col min="5" max="5" width="18.85546875" customWidth="1"/>
    <col min="6" max="6" width="29" bestFit="1" customWidth="1"/>
    <col min="7" max="7" width="35.140625" customWidth="1"/>
    <col min="8" max="8" width="25.140625" customWidth="1"/>
  </cols>
  <sheetData>
    <row r="1" spans="1:8" ht="84" customHeight="1" x14ac:dyDescent="0.25">
      <c r="A1" s="762" t="s">
        <v>275</v>
      </c>
      <c r="B1" s="762"/>
      <c r="C1" s="762"/>
      <c r="D1" s="763" t="s">
        <v>93</v>
      </c>
      <c r="E1" s="763"/>
      <c r="F1" s="763"/>
      <c r="G1" s="763"/>
      <c r="H1" s="763"/>
    </row>
    <row r="2" spans="1:8" ht="43.5" customHeight="1" x14ac:dyDescent="0.25">
      <c r="A2" s="766" t="s">
        <v>276</v>
      </c>
      <c r="B2" s="766"/>
      <c r="C2" s="766"/>
      <c r="D2" s="764" t="s">
        <v>263</v>
      </c>
      <c r="E2" s="764"/>
      <c r="F2" s="764"/>
      <c r="G2" s="764"/>
      <c r="H2" s="764"/>
    </row>
    <row r="3" spans="1:8" ht="43.5" customHeight="1" x14ac:dyDescent="0.25">
      <c r="A3" s="766"/>
      <c r="B3" s="766"/>
      <c r="C3" s="766"/>
      <c r="D3" s="764" t="s">
        <v>71</v>
      </c>
      <c r="E3" s="764"/>
      <c r="F3" s="764"/>
      <c r="G3" s="764"/>
      <c r="H3" s="764"/>
    </row>
    <row r="4" spans="1:8" ht="43.5" customHeight="1" x14ac:dyDescent="0.25">
      <c r="A4" s="109" t="s">
        <v>154</v>
      </c>
      <c r="B4" s="110"/>
      <c r="C4" s="110"/>
      <c r="D4" s="765" t="s">
        <v>0</v>
      </c>
      <c r="E4" s="765"/>
      <c r="F4" s="765"/>
      <c r="G4" s="765"/>
      <c r="H4" s="765"/>
    </row>
    <row r="5" spans="1:8" ht="43.5" customHeight="1" x14ac:dyDescent="0.25">
      <c r="A5" s="761" t="s">
        <v>155</v>
      </c>
      <c r="B5" s="761"/>
      <c r="C5" s="761"/>
      <c r="D5" s="767" t="s">
        <v>158</v>
      </c>
      <c r="E5" s="767"/>
      <c r="F5" s="767"/>
      <c r="G5" s="767"/>
      <c r="H5" s="767"/>
    </row>
    <row r="6" spans="1:8" ht="43.5" customHeight="1" x14ac:dyDescent="0.25">
      <c r="A6" s="111" t="s">
        <v>156</v>
      </c>
      <c r="B6" s="18"/>
      <c r="C6" s="18"/>
      <c r="D6" s="760" t="s">
        <v>262</v>
      </c>
      <c r="E6" s="760"/>
      <c r="F6" s="760"/>
      <c r="G6" s="760"/>
      <c r="H6" s="760"/>
    </row>
    <row r="7" spans="1:8" ht="33" x14ac:dyDescent="0.25">
      <c r="A7" s="19"/>
      <c r="B7" s="19"/>
      <c r="C7" s="19"/>
      <c r="D7" s="19"/>
      <c r="E7" s="20"/>
      <c r="F7" s="21"/>
      <c r="G7" s="21"/>
      <c r="H7" s="22"/>
    </row>
    <row r="8" spans="1:8" ht="99" x14ac:dyDescent="0.25">
      <c r="A8" s="23" t="s">
        <v>1</v>
      </c>
      <c r="B8" s="24" t="s">
        <v>191</v>
      </c>
      <c r="C8" s="24" t="s">
        <v>267</v>
      </c>
      <c r="D8" s="24" t="s">
        <v>20</v>
      </c>
      <c r="E8" s="24" t="s">
        <v>21</v>
      </c>
      <c r="F8" s="25" t="s">
        <v>268</v>
      </c>
      <c r="G8" s="25" t="s">
        <v>269</v>
      </c>
      <c r="H8" s="26" t="s">
        <v>22</v>
      </c>
    </row>
    <row r="9" spans="1:8" ht="54.75" customHeight="1" x14ac:dyDescent="0.25">
      <c r="A9" s="27" t="s">
        <v>102</v>
      </c>
      <c r="B9" s="28"/>
      <c r="C9" s="29"/>
      <c r="D9" s="29"/>
      <c r="E9" s="29"/>
      <c r="F9" s="29"/>
      <c r="G9" s="30">
        <f>SUBTOTAL(9,G10:G20)</f>
        <v>287610000</v>
      </c>
      <c r="H9" s="31"/>
    </row>
    <row r="10" spans="1:8" ht="237.75" customHeight="1" x14ac:dyDescent="0.25">
      <c r="A10" s="56">
        <f>_xlfn.AGGREGATE(3,3,$B$10:B10)</f>
        <v>1</v>
      </c>
      <c r="B10" s="57" t="str">
        <f>'PTLL (2)'!B5</f>
        <v>Camera IP Dome 2MP HIKVISION
DS-2CD1121G0-I</v>
      </c>
      <c r="C10" s="602" t="s">
        <v>147</v>
      </c>
      <c r="D10" s="56" t="str">
        <f>VLOOKUP(B10,'PTLL (2)'!$B$5:$J$42,2,0)</f>
        <v>Cái</v>
      </c>
      <c r="E10" s="59">
        <f>VLOOKUP(B10,'PTLL (3)'!$B$5:$J$42,3,0)</f>
        <v>118</v>
      </c>
      <c r="F10" s="59">
        <f>VLOOKUP(B10,'PTLL (3)'!$B$5:$J$43,8,0)</f>
        <v>786000</v>
      </c>
      <c r="G10" s="59">
        <f>E10*F10</f>
        <v>92748000</v>
      </c>
      <c r="H10" s="603"/>
    </row>
    <row r="11" spans="1:8" ht="232.5" customHeight="1" x14ac:dyDescent="0.25">
      <c r="A11" s="56">
        <f>_xlfn.AGGREGATE(3,3,$B$10:B11)</f>
        <v>2</v>
      </c>
      <c r="B11" s="57" t="str">
        <f>'PTLL (2)'!B6</f>
        <v>Camera IP thân 2MP HIKVISION 
DS-2CD1021G0-I</v>
      </c>
      <c r="C11" s="602" t="s">
        <v>147</v>
      </c>
      <c r="D11" s="56" t="str">
        <f>VLOOKUP(B11,'PTLL (2)'!$B$5:$J$42,2,0)</f>
        <v>Cái</v>
      </c>
      <c r="E11" s="59">
        <f>VLOOKUP(B11,'PTLL (3)'!$B$5:$J$42,3,0)</f>
        <v>14</v>
      </c>
      <c r="F11" s="59">
        <f>VLOOKUP(B11,'PTLL (3)'!$B$5:$J$43,8,0)</f>
        <v>745000</v>
      </c>
      <c r="G11" s="59">
        <f t="shared" ref="G11:G28" si="0">E11*F11</f>
        <v>10430000</v>
      </c>
      <c r="H11" s="603"/>
    </row>
    <row r="12" spans="1:8" ht="261.75" customHeight="1" x14ac:dyDescent="0.25">
      <c r="A12" s="56">
        <f>_xlfn.AGGREGATE(3,3,$B$10:B12)</f>
        <v>3</v>
      </c>
      <c r="B12" s="57" t="str">
        <f>'PTLL (2)'!B7</f>
        <v>Đầu ghi hình camera IP 32 kênh HIKVISION DS-7732NXI-K4</v>
      </c>
      <c r="C12" s="604" t="s">
        <v>149</v>
      </c>
      <c r="D12" s="56" t="str">
        <f>VLOOKUP(B12,'PTLL (2)'!$B$5:$J$42,2,0)</f>
        <v>Cái</v>
      </c>
      <c r="E12" s="59">
        <v>6</v>
      </c>
      <c r="F12" s="59">
        <f>VLOOKUP(B12,'PTLL (3)'!$B$5:$J$43,8,0)</f>
        <v>9643000</v>
      </c>
      <c r="G12" s="59">
        <f t="shared" si="0"/>
        <v>57858000</v>
      </c>
      <c r="H12" s="60"/>
    </row>
    <row r="13" spans="1:8" ht="153" x14ac:dyDescent="0.25">
      <c r="A13" s="56">
        <f>_xlfn.AGGREGATE(3,3,$B$10:B13)</f>
        <v>4</v>
      </c>
      <c r="B13" s="57" t="str">
        <f>'PTLL (2)'!B8</f>
        <v>Ổ Cứng 8T WESTERN</v>
      </c>
      <c r="C13" s="604" t="s">
        <v>150</v>
      </c>
      <c r="D13" s="56" t="str">
        <f>VLOOKUP(B13,'PTLL (2)'!$B$5:$J$42,2,0)</f>
        <v>Cái</v>
      </c>
      <c r="E13" s="59">
        <f>VLOOKUP(B13,'PTLL (3)'!$B$5:$J$42,3,0)</f>
        <v>8</v>
      </c>
      <c r="F13" s="59">
        <f>VLOOKUP(B13,'PTLL (3)'!$B$5:$J$43,8,0)</f>
        <v>6015000</v>
      </c>
      <c r="G13" s="59">
        <f t="shared" si="0"/>
        <v>48120000</v>
      </c>
      <c r="H13" s="604"/>
    </row>
    <row r="14" spans="1:8" ht="322.5" customHeight="1" x14ac:dyDescent="0.25">
      <c r="A14" s="56">
        <f>_xlfn.AGGREGATE(3,3,$B$10:B14)</f>
        <v>5</v>
      </c>
      <c r="B14" s="57" t="str">
        <f>'PTLL (2)'!B9</f>
        <v>Switch Hikvision POE 24 cổng DS-3E1326P-EI</v>
      </c>
      <c r="C14" s="605" t="s">
        <v>151</v>
      </c>
      <c r="D14" s="56" t="str">
        <f>VLOOKUP(B14,'PTLL (2)'!$B$5:$J$42,2,0)</f>
        <v>Cái</v>
      </c>
      <c r="E14" s="59">
        <f>VLOOKUP(B14,'PTLL (3)'!$B$5:$J$42,3,0)</f>
        <v>4</v>
      </c>
      <c r="F14" s="59">
        <f>VLOOKUP(B14,'PTLL (3)'!$B$5:$J$43,8,0)</f>
        <v>5124000</v>
      </c>
      <c r="G14" s="59">
        <f t="shared" si="0"/>
        <v>20496000</v>
      </c>
      <c r="H14" s="60"/>
    </row>
    <row r="15" spans="1:8" ht="232.5" customHeight="1" x14ac:dyDescent="0.25">
      <c r="A15" s="56">
        <f>_xlfn.AGGREGATE(3,3,$B$10:B15)</f>
        <v>6</v>
      </c>
      <c r="B15" s="57" t="str">
        <f>'PTLL (2)'!B10</f>
        <v>Switch Hikvision POE 16 cổng DS-3E1318P-EI</v>
      </c>
      <c r="C15" s="606" t="s">
        <v>152</v>
      </c>
      <c r="D15" s="56" t="str">
        <f>VLOOKUP(B15,'PTLL (2)'!$B$5:$J$42,2,0)</f>
        <v>Cái</v>
      </c>
      <c r="E15" s="59">
        <f>VLOOKUP(B15,'PTLL (3)'!$B$5:$J$42,3,0)</f>
        <v>4</v>
      </c>
      <c r="F15" s="59">
        <f>VLOOKUP(B15,'PTLL (3)'!$B$5:$J$43,8,0)</f>
        <v>4088000</v>
      </c>
      <c r="G15" s="59">
        <f t="shared" si="0"/>
        <v>16352000</v>
      </c>
      <c r="H15" s="60"/>
    </row>
    <row r="16" spans="1:8" ht="132" x14ac:dyDescent="0.25">
      <c r="A16" s="56">
        <f>_xlfn.AGGREGATE(3,3,$B$10:B16)</f>
        <v>7</v>
      </c>
      <c r="B16" s="57" t="str">
        <f>'PTLL (2)'!B11</f>
        <v>Switch 16 port CISCO CBS110-16T-EU</v>
      </c>
      <c r="C16" s="605" t="s">
        <v>159</v>
      </c>
      <c r="D16" s="56" t="str">
        <f>VLOOKUP(B16,'PTLL (2)'!$B$5:$J$42,2,0)</f>
        <v>Cái</v>
      </c>
      <c r="E16" s="59">
        <f>VLOOKUP(B16,'PTLL (3)'!$B$5:$J$42,3,0)</f>
        <v>1</v>
      </c>
      <c r="F16" s="59">
        <f>VLOOKUP(B16,'PTLL (3)'!$B$5:$J$43,8,0)</f>
        <v>4514000</v>
      </c>
      <c r="G16" s="59">
        <f t="shared" si="0"/>
        <v>4514000</v>
      </c>
      <c r="H16" s="130"/>
    </row>
    <row r="17" spans="1:8" ht="57.75" customHeight="1" x14ac:dyDescent="0.25">
      <c r="A17" s="56">
        <v>8</v>
      </c>
      <c r="B17" s="607" t="s">
        <v>160</v>
      </c>
      <c r="C17" s="608"/>
      <c r="D17" s="56" t="s">
        <v>146</v>
      </c>
      <c r="E17" s="59">
        <v>4</v>
      </c>
      <c r="F17" s="59">
        <f>SUM('PTLL (3)'!I12:I14)</f>
        <v>9273000</v>
      </c>
      <c r="G17" s="59">
        <f t="shared" si="0"/>
        <v>37092000</v>
      </c>
      <c r="H17" s="130"/>
    </row>
    <row r="18" spans="1:8" ht="48" hidden="1" customHeight="1" x14ac:dyDescent="0.25">
      <c r="A18" s="599">
        <v>8.1</v>
      </c>
      <c r="B18" s="740" t="str">
        <f>'PTLL (2)'!B12</f>
        <v>Màn hình quan sát SamSung 43inch</v>
      </c>
      <c r="C18" s="741"/>
      <c r="D18" s="599" t="str">
        <f>VLOOKUP(B18,'PTLL (2)'!$B$5:$J$42,2,0)</f>
        <v>Cái</v>
      </c>
      <c r="E18" s="600">
        <f>VLOOKUP(B18,'PTLL (2)'!$B$5:$J$42,3,0)</f>
        <v>4</v>
      </c>
      <c r="F18" s="600"/>
      <c r="G18" s="600"/>
      <c r="H18" s="601"/>
    </row>
    <row r="19" spans="1:8" ht="48" hidden="1" customHeight="1" x14ac:dyDescent="0.25">
      <c r="A19" s="35">
        <v>8.1999999999999993</v>
      </c>
      <c r="B19" s="114" t="str">
        <f>'PTLL (2)'!B13</f>
        <v>Khung kệ tivi</v>
      </c>
      <c r="C19" s="115"/>
      <c r="D19" s="35" t="str">
        <f>VLOOKUP(B19,'PTLL (2)'!$B$5:$J$42,2,0)</f>
        <v>Cái</v>
      </c>
      <c r="E19" s="104">
        <f>VLOOKUP(B19,'PTLL (2)'!$B$5:$J$42,3,0)</f>
        <v>4</v>
      </c>
      <c r="F19" s="104"/>
      <c r="G19" s="104"/>
      <c r="H19" s="39"/>
    </row>
    <row r="20" spans="1:8" ht="48" hidden="1" customHeight="1" x14ac:dyDescent="0.25">
      <c r="A20" s="106">
        <v>8.3000000000000007</v>
      </c>
      <c r="B20" s="118" t="str">
        <f>'PTLL (2)'!B14</f>
        <v>Cáp HDMI 15m Unitek</v>
      </c>
      <c r="C20" s="116"/>
      <c r="D20" s="106" t="str">
        <f>VLOOKUP(B20,'PTLL (2)'!$B$5:$J$42,2,0)</f>
        <v xml:space="preserve">Sợi </v>
      </c>
      <c r="E20" s="107">
        <f>VLOOKUP(B20,'PTLL (2)'!$B$5:$J$42,3,0)</f>
        <v>4</v>
      </c>
      <c r="F20" s="107"/>
      <c r="G20" s="107"/>
      <c r="H20" s="117"/>
    </row>
    <row r="21" spans="1:8" ht="51" customHeight="1" x14ac:dyDescent="0.25">
      <c r="A21" s="45" t="s">
        <v>103</v>
      </c>
      <c r="B21" s="45"/>
      <c r="C21" s="46"/>
      <c r="D21" s="46"/>
      <c r="E21" s="46"/>
      <c r="F21" s="46"/>
      <c r="G21" s="47">
        <f>SUBTOTAL(9,G22:G28)</f>
        <v>105971000</v>
      </c>
      <c r="H21" s="48"/>
    </row>
    <row r="22" spans="1:8" ht="51" customHeight="1" x14ac:dyDescent="0.25">
      <c r="A22" s="56">
        <v>1</v>
      </c>
      <c r="B22" s="742" t="str">
        <f>'PTLL (2)'!B16</f>
        <v xml:space="preserve">Cáp quang 4FO </v>
      </c>
      <c r="C22" s="742"/>
      <c r="D22" s="56" t="str">
        <f>VLOOKUP(B22,'PTLL (2)'!$B$5:$J$42,2,0)</f>
        <v xml:space="preserve">Mét </v>
      </c>
      <c r="E22" s="59">
        <f>VLOOKUP(B22,'PTLL (3)'!$B$5:$J$42,3,0)</f>
        <v>400</v>
      </c>
      <c r="F22" s="59">
        <f>VLOOKUP(B22,'PTLL (3)'!$B$5:$J$43,8,0)</f>
        <v>5600</v>
      </c>
      <c r="G22" s="59">
        <f t="shared" si="0"/>
        <v>2240000</v>
      </c>
      <c r="H22" s="610"/>
    </row>
    <row r="23" spans="1:8" ht="51" customHeight="1" x14ac:dyDescent="0.25">
      <c r="A23" s="56">
        <v>2</v>
      </c>
      <c r="B23" s="744" t="str">
        <f>'PTLL (2)'!B17</f>
        <v>Cáp mạng Cat5E</v>
      </c>
      <c r="C23" s="744"/>
      <c r="D23" s="56" t="str">
        <f>VLOOKUP(B23,'PTLL (2)'!$B$5:$J$42,2,0)</f>
        <v xml:space="preserve">Mét </v>
      </c>
      <c r="E23" s="59">
        <f>VLOOKUP(B23,'PTLL (3)'!$B$5:$J$42,3,0)</f>
        <v>7660</v>
      </c>
      <c r="F23" s="59">
        <f>VLOOKUP(B23,'PTLL (3)'!$B$5:$J$43,8,0)</f>
        <v>11000</v>
      </c>
      <c r="G23" s="59">
        <f t="shared" si="0"/>
        <v>84260000</v>
      </c>
      <c r="H23" s="60"/>
    </row>
    <row r="24" spans="1:8" ht="51" customHeight="1" x14ac:dyDescent="0.25">
      <c r="A24" s="56">
        <v>3</v>
      </c>
      <c r="B24" s="744" t="str">
        <f>'PTLL (2)'!B18</f>
        <v>Converter A/B 1000M</v>
      </c>
      <c r="C24" s="744"/>
      <c r="D24" s="56" t="str">
        <f>VLOOKUP(B24,'PTLL (2)'!$B$5:$J$42,2,0)</f>
        <v xml:space="preserve">Bộ </v>
      </c>
      <c r="E24" s="59">
        <f>VLOOKUP(B24,'PTLL (3)'!$B$5:$J$42,3,0)</f>
        <v>4</v>
      </c>
      <c r="F24" s="59">
        <f>VLOOKUP(B24,'PTLL (3)'!$B$5:$J$43,8,0)</f>
        <v>1080000</v>
      </c>
      <c r="G24" s="59">
        <f t="shared" si="0"/>
        <v>4320000</v>
      </c>
      <c r="H24" s="60"/>
    </row>
    <row r="25" spans="1:8" ht="51" customHeight="1" x14ac:dyDescent="0.25">
      <c r="A25" s="56">
        <v>4</v>
      </c>
      <c r="B25" s="744" t="str">
        <f>'PTLL (2)'!B19</f>
        <v>Tủ mạng rack 6U</v>
      </c>
      <c r="C25" s="744"/>
      <c r="D25" s="56" t="str">
        <f>VLOOKUP(B25,'PTLL (2)'!$B$5:$J$42,2,0)</f>
        <v>Cái</v>
      </c>
      <c r="E25" s="59">
        <f>VLOOKUP(B25,'PTLL (3)'!$B$5:$J$42,3,0)</f>
        <v>2</v>
      </c>
      <c r="F25" s="59">
        <f>VLOOKUP(B25,'PTLL (3)'!$B$5:$J$43,8,0)</f>
        <v>1050000</v>
      </c>
      <c r="G25" s="59">
        <f t="shared" si="0"/>
        <v>2100000</v>
      </c>
      <c r="H25" s="60"/>
    </row>
    <row r="26" spans="1:8" ht="51" customHeight="1" x14ac:dyDescent="0.25">
      <c r="A26" s="56">
        <v>5</v>
      </c>
      <c r="B26" s="744" t="str">
        <f>'PTLL (2)'!B20</f>
        <v>Tủ mạng rack 10U</v>
      </c>
      <c r="C26" s="744"/>
      <c r="D26" s="56" t="str">
        <f>VLOOKUP(B26,'PTLL (2)'!$B$5:$J$42,2,0)</f>
        <v>Cái</v>
      </c>
      <c r="E26" s="59">
        <f>VLOOKUP(B26,'PTLL (3)'!$B$5:$J$42,3,0)</f>
        <v>2</v>
      </c>
      <c r="F26" s="59">
        <f>VLOOKUP(B26,'PTLL (3)'!$B$5:$J$43,8,0)</f>
        <v>1904000</v>
      </c>
      <c r="G26" s="59">
        <f t="shared" si="0"/>
        <v>3808000</v>
      </c>
      <c r="H26" s="60"/>
    </row>
    <row r="27" spans="1:8" ht="51" customHeight="1" x14ac:dyDescent="0.25">
      <c r="A27" s="56">
        <v>6</v>
      </c>
      <c r="B27" s="744" t="str">
        <f>'PTLL (2)'!B21</f>
        <v>Tủ mạng rack 42U</v>
      </c>
      <c r="C27" s="744"/>
      <c r="D27" s="56" t="str">
        <f>VLOOKUP(B27,'PTLL (2)'!$B$5:$J$42,2,0)</f>
        <v>Cái</v>
      </c>
      <c r="E27" s="59">
        <f>VLOOKUP(B27,'PTLL (3)'!$B$5:$J$42,3,0)</f>
        <v>1</v>
      </c>
      <c r="F27" s="59">
        <f>VLOOKUP(B27,'PTLL (3)'!$B$5:$J$43,8,0)</f>
        <v>8568000</v>
      </c>
      <c r="G27" s="59">
        <f t="shared" si="0"/>
        <v>8568000</v>
      </c>
      <c r="H27" s="60"/>
    </row>
    <row r="28" spans="1:8" ht="51" customHeight="1" x14ac:dyDescent="0.25">
      <c r="A28" s="56">
        <v>7</v>
      </c>
      <c r="B28" s="744" t="str">
        <f>'PTLL (2)'!B22</f>
        <v xml:space="preserve">ODF 12 FO </v>
      </c>
      <c r="C28" s="744"/>
      <c r="D28" s="56" t="str">
        <f>VLOOKUP(B28,'PTLL (2)'!$B$5:$J$42,2,0)</f>
        <v>Cái</v>
      </c>
      <c r="E28" s="59">
        <f>VLOOKUP(B28,'PTLL (3)'!$B$5:$J$42,3,0)</f>
        <v>1</v>
      </c>
      <c r="F28" s="59">
        <f>VLOOKUP(B28,'PTLL (3)'!$B$5:$J$43,8,0)</f>
        <v>675000</v>
      </c>
      <c r="G28" s="59">
        <f t="shared" si="0"/>
        <v>675000</v>
      </c>
      <c r="H28" s="60"/>
    </row>
    <row r="29" spans="1:8" ht="51" customHeight="1" x14ac:dyDescent="0.25">
      <c r="A29" s="27" t="s">
        <v>104</v>
      </c>
      <c r="B29" s="49"/>
      <c r="C29" s="50"/>
      <c r="D29" s="49"/>
      <c r="E29" s="51"/>
      <c r="F29" s="52"/>
      <c r="G29" s="53">
        <f>SUBTOTAL(9,G30:G31)</f>
        <v>7731000</v>
      </c>
      <c r="H29" s="54"/>
    </row>
    <row r="30" spans="1:8" ht="51" customHeight="1" x14ac:dyDescent="0.25">
      <c r="A30" s="56">
        <v>1</v>
      </c>
      <c r="B30" s="607" t="str">
        <f>'PTLL (2)'!B24</f>
        <v>Dây điện CVV 2x2.5</v>
      </c>
      <c r="C30" s="603"/>
      <c r="D30" s="56" t="str">
        <f>VLOOKUP(B30,'PTLL (2)'!$B$5:$J$42,2,0)</f>
        <v xml:space="preserve">Mét </v>
      </c>
      <c r="E30" s="59">
        <f>VLOOKUP(B30,'PTLL (3)'!$B$5:$J$42,3,0)</f>
        <v>150</v>
      </c>
      <c r="F30" s="59">
        <f>VLOOKUP(B30,'PTLL (3)'!$B$5:$J$43,8,0)</f>
        <v>26500</v>
      </c>
      <c r="G30" s="59">
        <f>E30*F30</f>
        <v>3975000</v>
      </c>
      <c r="H30" s="609"/>
    </row>
    <row r="31" spans="1:8" ht="51" customHeight="1" x14ac:dyDescent="0.25">
      <c r="A31" s="56">
        <v>2</v>
      </c>
      <c r="B31" s="607" t="str">
        <f>'PTLL (2)'!B25</f>
        <v>Thanh nguồn PDU đa năng 6 ổ cắm 3 chấu chuẩn 19"</v>
      </c>
      <c r="C31" s="60"/>
      <c r="D31" s="56" t="str">
        <f>VLOOKUP(B31,'PTLL (2)'!$B$5:$J$42,2,0)</f>
        <v>Cái</v>
      </c>
      <c r="E31" s="59">
        <f>VLOOKUP(B31,'PTLL (3)'!$B$5:$J$42,3,0)</f>
        <v>3</v>
      </c>
      <c r="F31" s="59">
        <f>VLOOKUP(B31,'PTLL (3)'!$B$5:$J$43,8,0)</f>
        <v>1252000</v>
      </c>
      <c r="G31" s="59">
        <f>E31*F31</f>
        <v>3756000</v>
      </c>
      <c r="H31" s="609"/>
    </row>
    <row r="32" spans="1:8" ht="51" customHeight="1" x14ac:dyDescent="0.25">
      <c r="A32" s="27" t="s">
        <v>105</v>
      </c>
      <c r="B32" s="49"/>
      <c r="C32" s="50"/>
      <c r="D32" s="49"/>
      <c r="E32" s="51"/>
      <c r="F32" s="52"/>
      <c r="G32" s="53">
        <f>SUBTOTAL(9,G33:G35)</f>
        <v>28757000</v>
      </c>
      <c r="H32" s="54"/>
    </row>
    <row r="33" spans="1:8" ht="51" customHeight="1" x14ac:dyDescent="0.25">
      <c r="A33" s="56">
        <v>1</v>
      </c>
      <c r="B33" s="607" t="str">
        <f>'PTLL (2)'!B27</f>
        <v>Nguồn lưu điện 2KVA  UPS</v>
      </c>
      <c r="C33" s="60"/>
      <c r="D33" s="56" t="str">
        <f>VLOOKUP(B33,'PTLL (2)'!$B$5:$J$42,2,0)</f>
        <v xml:space="preserve">Bộ </v>
      </c>
      <c r="E33" s="59">
        <f>VLOOKUP(B33,'PTLL (3)'!$B$5:$J$42,3,0)</f>
        <v>2</v>
      </c>
      <c r="F33" s="59">
        <f>VLOOKUP(B33,'PTLL (3)'!$B$5:$J$43,8,0)</f>
        <v>6953000</v>
      </c>
      <c r="G33" s="59">
        <f>E33*F33</f>
        <v>13906000</v>
      </c>
      <c r="H33" s="60"/>
    </row>
    <row r="34" spans="1:8" ht="51" customHeight="1" x14ac:dyDescent="0.25">
      <c r="A34" s="56">
        <v>2</v>
      </c>
      <c r="B34" s="607" t="str">
        <f>'PTLL (2)'!B28</f>
        <v>Nguồn lưu điện 1K2VA UPS</v>
      </c>
      <c r="C34" s="60"/>
      <c r="D34" s="56" t="str">
        <f>VLOOKUP(B34,'PTLL (2)'!$B$5:$J$42,2,0)</f>
        <v xml:space="preserve">Bộ </v>
      </c>
      <c r="E34" s="59">
        <f>VLOOKUP(B34,'PTLL (3)'!$B$5:$J$42,3,0)</f>
        <v>2</v>
      </c>
      <c r="F34" s="59">
        <f>VLOOKUP(B34,'PTLL (3)'!$B$5:$J$43,8,0)</f>
        <v>2713000</v>
      </c>
      <c r="G34" s="59">
        <f>E34*F34</f>
        <v>5426000</v>
      </c>
      <c r="H34" s="60"/>
    </row>
    <row r="35" spans="1:8" ht="51" customHeight="1" x14ac:dyDescent="0.25">
      <c r="A35" s="56">
        <v>3</v>
      </c>
      <c r="B35" s="607" t="str">
        <f>'PTLL (2)'!B29</f>
        <v xml:space="preserve">Nguồn lưu điện 3KVA UPS </v>
      </c>
      <c r="C35" s="60"/>
      <c r="D35" s="56" t="str">
        <f>VLOOKUP(B35,'PTLL (2)'!$B$5:$J$42,2,0)</f>
        <v xml:space="preserve">Bộ </v>
      </c>
      <c r="E35" s="59">
        <f>VLOOKUP(B35,'PTLL (3)'!$B$5:$J$42,3,0)</f>
        <v>1</v>
      </c>
      <c r="F35" s="59">
        <f>VLOOKUP(B35,'PTLL (3)'!$B$5:$J$43,8,0)</f>
        <v>9425000</v>
      </c>
      <c r="G35" s="59">
        <f>E35*F35</f>
        <v>9425000</v>
      </c>
      <c r="H35" s="60"/>
    </row>
    <row r="36" spans="1:8" ht="51" customHeight="1" x14ac:dyDescent="0.25">
      <c r="A36" s="27" t="s">
        <v>245</v>
      </c>
      <c r="B36" s="49"/>
      <c r="C36" s="50"/>
      <c r="D36" s="49"/>
      <c r="E36" s="51"/>
      <c r="F36" s="52"/>
      <c r="G36" s="53">
        <f>SUBTOTAL(9,G37)</f>
        <v>33196000</v>
      </c>
      <c r="H36" s="54"/>
    </row>
    <row r="37" spans="1:8" ht="51" customHeight="1" x14ac:dyDescent="0.25">
      <c r="A37" s="56">
        <v>1</v>
      </c>
      <c r="B37" s="57" t="str">
        <f>'[16]ptll 61 cam'!B29</f>
        <v>Vật tư phụ</v>
      </c>
      <c r="C37" s="58" t="s">
        <v>106</v>
      </c>
      <c r="D37" s="43" t="str">
        <f>VLOOKUP(B37,'[16]ptll 61 cam'!$B$6:$K$35,4,0)</f>
        <v>Gói</v>
      </c>
      <c r="E37" s="44">
        <f>VLOOKUP(B37,'[16]ptll 61 cam'!$B$6:$K$35,5,0)</f>
        <v>1</v>
      </c>
      <c r="F37" s="59">
        <f>'PTLL (3)'!J30</f>
        <v>33196000</v>
      </c>
      <c r="G37" s="59">
        <f>E37*F37</f>
        <v>33196000</v>
      </c>
      <c r="H37" s="60"/>
    </row>
    <row r="38" spans="1:8" ht="51" customHeight="1" x14ac:dyDescent="0.25">
      <c r="A38" s="747" t="s">
        <v>246</v>
      </c>
      <c r="B38" s="748"/>
      <c r="C38" s="748"/>
      <c r="D38" s="748"/>
      <c r="E38" s="748"/>
      <c r="F38" s="748"/>
      <c r="G38" s="53">
        <f>SUBTOTAL(9,G39)</f>
        <v>110864000</v>
      </c>
      <c r="H38" s="54"/>
    </row>
    <row r="39" spans="1:8" ht="51" customHeight="1" x14ac:dyDescent="0.25">
      <c r="A39" s="61">
        <v>1</v>
      </c>
      <c r="B39" s="62" t="s">
        <v>108</v>
      </c>
      <c r="C39" s="63" t="s">
        <v>109</v>
      </c>
      <c r="D39" s="61" t="s">
        <v>6</v>
      </c>
      <c r="E39" s="64">
        <v>1</v>
      </c>
      <c r="F39" s="65">
        <f>'PTLL (3)'!J36</f>
        <v>110864000</v>
      </c>
      <c r="G39" s="66">
        <f>F39*E39</f>
        <v>110864000</v>
      </c>
      <c r="H39" s="67"/>
    </row>
    <row r="40" spans="1:8" ht="51" customHeight="1" x14ac:dyDescent="0.25">
      <c r="A40" s="768" t="s">
        <v>110</v>
      </c>
      <c r="B40" s="768"/>
      <c r="C40" s="768"/>
      <c r="D40" s="768"/>
      <c r="E40" s="768"/>
      <c r="F40" s="768"/>
      <c r="G40" s="25">
        <f>SUBTOTAL(9,G9:G39)</f>
        <v>574129000</v>
      </c>
      <c r="H40" s="25"/>
    </row>
    <row r="41" spans="1:8" ht="51" customHeight="1" x14ac:dyDescent="0.25">
      <c r="A41" s="768" t="s">
        <v>8</v>
      </c>
      <c r="B41" s="768"/>
      <c r="C41" s="768"/>
      <c r="D41" s="768"/>
      <c r="E41" s="768"/>
      <c r="F41" s="768"/>
      <c r="G41" s="25">
        <f>G40*0.1</f>
        <v>57412900</v>
      </c>
      <c r="H41" s="25"/>
    </row>
    <row r="42" spans="1:8" ht="51" customHeight="1" x14ac:dyDescent="0.25">
      <c r="A42" s="768" t="s">
        <v>111</v>
      </c>
      <c r="B42" s="768"/>
      <c r="C42" s="768"/>
      <c r="D42" s="768"/>
      <c r="E42" s="768"/>
      <c r="F42" s="768"/>
      <c r="G42" s="25">
        <f>G40+G41</f>
        <v>631541900</v>
      </c>
      <c r="H42" s="25"/>
    </row>
    <row r="43" spans="1:8" ht="35.25" x14ac:dyDescent="0.25">
      <c r="A43" s="68"/>
      <c r="B43" s="69" t="s">
        <v>9</v>
      </c>
      <c r="C43" s="69"/>
      <c r="D43" s="70"/>
      <c r="E43" s="71"/>
      <c r="F43" s="72"/>
      <c r="G43" s="71"/>
      <c r="H43" s="73"/>
    </row>
    <row r="44" spans="1:8" ht="35.25" x14ac:dyDescent="0.25">
      <c r="A44" s="74"/>
      <c r="B44" s="75" t="s">
        <v>112</v>
      </c>
      <c r="C44" s="75"/>
      <c r="D44" s="76"/>
      <c r="E44" s="77"/>
      <c r="F44" s="78"/>
      <c r="G44" s="77"/>
      <c r="H44" s="79"/>
    </row>
    <row r="45" spans="1:8" ht="39" customHeight="1" x14ac:dyDescent="0.25">
      <c r="A45" s="74"/>
      <c r="B45" s="80" t="s">
        <v>11</v>
      </c>
      <c r="C45" s="80"/>
      <c r="D45" s="76"/>
      <c r="E45" s="77"/>
      <c r="F45" s="78"/>
      <c r="G45" s="77"/>
      <c r="H45" s="79"/>
    </row>
    <row r="46" spans="1:8" ht="39" customHeight="1" x14ac:dyDescent="0.25">
      <c r="A46" s="74"/>
      <c r="B46" s="81" t="s">
        <v>12</v>
      </c>
      <c r="C46" s="81"/>
      <c r="D46" s="76"/>
      <c r="E46" s="77"/>
      <c r="F46" s="78"/>
      <c r="G46" s="77"/>
      <c r="H46" s="79"/>
    </row>
    <row r="47" spans="1:8" ht="39" customHeight="1" x14ac:dyDescent="0.25">
      <c r="A47" s="74"/>
      <c r="B47" s="81" t="s">
        <v>257</v>
      </c>
      <c r="C47" s="81"/>
      <c r="D47" s="76"/>
      <c r="E47" s="77"/>
      <c r="F47" s="78"/>
      <c r="G47" s="77"/>
      <c r="H47" s="79"/>
    </row>
    <row r="48" spans="1:8" ht="39" customHeight="1" x14ac:dyDescent="0.25">
      <c r="A48" s="74"/>
      <c r="B48" s="80" t="s">
        <v>14</v>
      </c>
      <c r="C48" s="80"/>
      <c r="D48" s="76"/>
      <c r="E48" s="77"/>
      <c r="F48" s="78"/>
      <c r="G48" s="77"/>
      <c r="H48" s="79"/>
    </row>
    <row r="49" spans="1:8" ht="39" customHeight="1" x14ac:dyDescent="0.25">
      <c r="A49" s="74"/>
      <c r="B49" s="81" t="s">
        <v>266</v>
      </c>
      <c r="C49" s="81"/>
      <c r="D49" s="76"/>
      <c r="E49" s="77"/>
      <c r="F49" s="78"/>
      <c r="G49" s="77"/>
      <c r="H49" s="79"/>
    </row>
    <row r="50" spans="1:8" ht="39" customHeight="1" x14ac:dyDescent="0.25">
      <c r="A50" s="74"/>
      <c r="B50" s="81" t="s">
        <v>16</v>
      </c>
      <c r="C50" s="81"/>
      <c r="D50" s="76"/>
      <c r="E50" s="77"/>
      <c r="F50" s="78"/>
      <c r="G50" s="77"/>
      <c r="H50" s="79"/>
    </row>
    <row r="51" spans="1:8" ht="39" customHeight="1" x14ac:dyDescent="0.25">
      <c r="A51" s="74"/>
      <c r="B51" s="80" t="s">
        <v>113</v>
      </c>
      <c r="C51" s="80"/>
      <c r="D51" s="76"/>
      <c r="E51" s="77"/>
      <c r="F51" s="78"/>
      <c r="G51" s="77"/>
      <c r="H51" s="79"/>
    </row>
    <row r="52" spans="1:8" ht="39" customHeight="1" x14ac:dyDescent="0.25">
      <c r="A52" s="74"/>
      <c r="B52" s="82" t="s">
        <v>18</v>
      </c>
      <c r="C52" s="82"/>
      <c r="D52" s="76"/>
      <c r="E52" s="77"/>
      <c r="F52" s="78"/>
      <c r="G52" s="77"/>
      <c r="H52" s="79"/>
    </row>
    <row r="53" spans="1:8" ht="39" customHeight="1" thickBot="1" x14ac:dyDescent="0.3">
      <c r="A53" s="83"/>
      <c r="B53" s="84" t="s">
        <v>114</v>
      </c>
      <c r="C53" s="84"/>
      <c r="D53" s="85"/>
      <c r="E53" s="86"/>
      <c r="F53" s="87"/>
      <c r="G53" s="86"/>
      <c r="H53" s="88"/>
    </row>
    <row r="54" spans="1:8" ht="27.75" customHeight="1" thickTop="1" x14ac:dyDescent="0.25">
      <c r="A54" s="76"/>
      <c r="B54" s="82"/>
      <c r="C54" s="82"/>
      <c r="D54" s="76"/>
      <c r="E54" s="77"/>
      <c r="F54" s="78"/>
      <c r="G54" s="77"/>
      <c r="H54" s="598"/>
    </row>
    <row r="55" spans="1:8" ht="39" customHeight="1" x14ac:dyDescent="0.25">
      <c r="A55" s="754" t="s">
        <v>264</v>
      </c>
      <c r="B55" s="754"/>
      <c r="C55" s="754"/>
      <c r="D55" s="89"/>
      <c r="E55" s="90"/>
      <c r="F55" s="769" t="s">
        <v>161</v>
      </c>
      <c r="G55" s="769"/>
      <c r="H55" s="769"/>
    </row>
    <row r="56" spans="1:8" ht="39" customHeight="1" x14ac:dyDescent="0.25">
      <c r="A56" s="91"/>
      <c r="B56" s="92" t="s">
        <v>265</v>
      </c>
      <c r="C56" s="93"/>
      <c r="D56" s="94"/>
      <c r="E56" s="95"/>
      <c r="F56" s="751" t="s">
        <v>162</v>
      </c>
      <c r="G56" s="751"/>
      <c r="H56" s="751"/>
    </row>
    <row r="57" spans="1:8" ht="31.5" x14ac:dyDescent="0.25">
      <c r="A57" s="96"/>
      <c r="B57" s="97"/>
      <c r="C57" s="98"/>
      <c r="D57" s="96"/>
      <c r="E57" s="96"/>
      <c r="F57" s="99"/>
      <c r="G57" s="99"/>
      <c r="H57" s="96"/>
    </row>
  </sheetData>
  <mergeCells count="24">
    <mergeCell ref="B27:C27"/>
    <mergeCell ref="B28:C28"/>
    <mergeCell ref="B18:C18"/>
    <mergeCell ref="B22:C22"/>
    <mergeCell ref="B23:C23"/>
    <mergeCell ref="B24:C24"/>
    <mergeCell ref="B25:C25"/>
    <mergeCell ref="B26:C26"/>
    <mergeCell ref="F56:H56"/>
    <mergeCell ref="A38:F38"/>
    <mergeCell ref="A40:F40"/>
    <mergeCell ref="A41:F41"/>
    <mergeCell ref="A42:F42"/>
    <mergeCell ref="A55:C55"/>
    <mergeCell ref="F55:H55"/>
    <mergeCell ref="D6:H6"/>
    <mergeCell ref="A5:C5"/>
    <mergeCell ref="A1:C1"/>
    <mergeCell ref="D1:H1"/>
    <mergeCell ref="D2:H2"/>
    <mergeCell ref="D3:H3"/>
    <mergeCell ref="D4:H4"/>
    <mergeCell ref="A2:C3"/>
    <mergeCell ref="D5:H5"/>
  </mergeCells>
  <hyperlinks>
    <hyperlink ref="D4" r:id="rId1"/>
  </hyperlinks>
  <pageMargins left="0.3" right="0.25" top="0.35" bottom="0.2" header="0.31496062992126" footer="0.2"/>
  <pageSetup paperSize="9" scale="37" fitToHeight="0" orientation="portrait" r:id="rId2"/>
  <headerFooter scaleWithDoc="0">
    <oddFooter>&amp;C&amp;"Times New Roman,Regular"&amp;8 157.2025/BG-TSI-SRR.E&amp;R&amp;"Times New Roman,Regular"&amp;8Trang &amp;P/&amp;N</oddFooter>
  </headerFooter>
  <rowBreaks count="1" manualBreakCount="1">
    <brk id="17" max="7"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4"/>
  <sheetViews>
    <sheetView view="pageBreakPreview" zoomScaleNormal="100" zoomScaleSheetLayoutView="100" workbookViewId="0">
      <selection activeCell="F9" sqref="F9"/>
    </sheetView>
  </sheetViews>
  <sheetFormatPr defaultRowHeight="15" x14ac:dyDescent="0.25"/>
  <cols>
    <col min="1" max="1" width="4.7109375" customWidth="1"/>
    <col min="2" max="2" width="18" customWidth="1"/>
    <col min="3" max="3" width="21" customWidth="1"/>
    <col min="4" max="5" width="14.42578125" customWidth="1"/>
    <col min="6" max="6" width="13.7109375" bestFit="1" customWidth="1"/>
    <col min="7" max="8" width="12.140625" customWidth="1"/>
    <col min="9" max="9" width="15.28515625" customWidth="1"/>
    <col min="10" max="11" width="9.140625" customWidth="1"/>
    <col min="12" max="12" width="9.140625" hidden="1" customWidth="1"/>
    <col min="13" max="14" width="9.140625" customWidth="1"/>
    <col min="15" max="15" width="12.5703125" customWidth="1"/>
    <col min="16" max="16" width="13.7109375" bestFit="1" customWidth="1"/>
    <col min="19" max="19" width="12.140625" customWidth="1"/>
  </cols>
  <sheetData>
    <row r="1" spans="1:21" ht="77.25" customHeight="1" x14ac:dyDescent="0.25">
      <c r="A1" s="778" t="s">
        <v>203</v>
      </c>
      <c r="B1" s="778"/>
      <c r="C1" s="778"/>
      <c r="D1" s="778"/>
      <c r="E1" s="778"/>
      <c r="F1" s="778"/>
      <c r="G1" s="778"/>
      <c r="H1" s="778"/>
      <c r="I1" s="778"/>
      <c r="J1" s="778"/>
      <c r="K1" s="778"/>
      <c r="L1" s="778"/>
      <c r="M1" s="778"/>
      <c r="N1" s="778"/>
      <c r="O1" s="778"/>
      <c r="P1" s="778"/>
      <c r="Q1" s="778"/>
      <c r="R1" s="778"/>
      <c r="S1" s="778"/>
    </row>
    <row r="2" spans="1:21" ht="16.5" x14ac:dyDescent="0.25">
      <c r="A2" s="779" t="s">
        <v>1</v>
      </c>
      <c r="B2" s="775" t="s">
        <v>271</v>
      </c>
      <c r="C2" s="775" t="s">
        <v>181</v>
      </c>
      <c r="D2" s="782" t="s">
        <v>182</v>
      </c>
      <c r="E2" s="782"/>
      <c r="F2" s="782"/>
      <c r="G2" s="783" t="s">
        <v>183</v>
      </c>
      <c r="H2" s="783"/>
      <c r="I2" s="783"/>
      <c r="J2" s="772" t="s">
        <v>184</v>
      </c>
      <c r="K2" s="772"/>
      <c r="L2" s="772"/>
      <c r="M2" s="772"/>
      <c r="N2" s="772"/>
      <c r="O2" s="772"/>
      <c r="P2" s="784" t="s">
        <v>185</v>
      </c>
      <c r="Q2" s="784" t="s">
        <v>186</v>
      </c>
      <c r="R2" s="784" t="s">
        <v>187</v>
      </c>
      <c r="S2" s="784" t="s">
        <v>22</v>
      </c>
    </row>
    <row r="3" spans="1:21" ht="16.5" x14ac:dyDescent="0.25">
      <c r="A3" s="780"/>
      <c r="B3" s="776"/>
      <c r="C3" s="776"/>
      <c r="D3" s="782"/>
      <c r="E3" s="782"/>
      <c r="F3" s="782"/>
      <c r="G3" s="783"/>
      <c r="H3" s="783"/>
      <c r="I3" s="783"/>
      <c r="J3" s="772" t="s">
        <v>188</v>
      </c>
      <c r="K3" s="772"/>
      <c r="L3" s="772"/>
      <c r="M3" s="772"/>
      <c r="N3" s="772" t="s">
        <v>189</v>
      </c>
      <c r="O3" s="772" t="s">
        <v>190</v>
      </c>
      <c r="P3" s="784"/>
      <c r="Q3" s="783"/>
      <c r="R3" s="783"/>
      <c r="S3" s="784"/>
    </row>
    <row r="4" spans="1:21" ht="66" x14ac:dyDescent="0.25">
      <c r="A4" s="781"/>
      <c r="B4" s="777"/>
      <c r="C4" s="777"/>
      <c r="D4" s="431" t="s">
        <v>191</v>
      </c>
      <c r="E4" s="432" t="s">
        <v>177</v>
      </c>
      <c r="F4" s="432" t="s">
        <v>192</v>
      </c>
      <c r="G4" s="433" t="s">
        <v>191</v>
      </c>
      <c r="H4" s="434" t="s">
        <v>177</v>
      </c>
      <c r="I4" s="434" t="s">
        <v>193</v>
      </c>
      <c r="J4" s="432" t="s">
        <v>194</v>
      </c>
      <c r="K4" s="432" t="s">
        <v>195</v>
      </c>
      <c r="L4" s="432" t="s">
        <v>196</v>
      </c>
      <c r="M4" s="432" t="s">
        <v>197</v>
      </c>
      <c r="N4" s="772"/>
      <c r="O4" s="772"/>
      <c r="P4" s="784"/>
      <c r="Q4" s="783"/>
      <c r="R4" s="783"/>
      <c r="S4" s="784"/>
    </row>
    <row r="5" spans="1:21" ht="47.25" customHeight="1" x14ac:dyDescent="0.25">
      <c r="A5" s="435">
        <v>1</v>
      </c>
      <c r="B5" s="614">
        <v>45844</v>
      </c>
      <c r="C5" s="436" t="s">
        <v>201</v>
      </c>
      <c r="D5" s="437">
        <v>283267976.15499258</v>
      </c>
      <c r="E5" s="437">
        <v>73365000</v>
      </c>
      <c r="F5" s="438">
        <v>356632976.15499258</v>
      </c>
      <c r="G5" s="437">
        <v>386368000</v>
      </c>
      <c r="H5" s="437">
        <v>99840000</v>
      </c>
      <c r="I5" s="438">
        <v>486208000</v>
      </c>
      <c r="J5" s="437">
        <v>4000000</v>
      </c>
      <c r="K5" s="437">
        <v>4000000</v>
      </c>
      <c r="L5" s="439"/>
      <c r="M5" s="437">
        <v>8000000</v>
      </c>
      <c r="N5" s="438">
        <v>14586240</v>
      </c>
      <c r="O5" s="438">
        <v>22586240</v>
      </c>
      <c r="P5" s="438">
        <v>73314880.49239938</v>
      </c>
      <c r="Q5" s="454">
        <v>0.20557515819999986</v>
      </c>
      <c r="R5" s="454">
        <v>0.15078912829982102</v>
      </c>
      <c r="S5" s="435" t="s">
        <v>202</v>
      </c>
    </row>
    <row r="6" spans="1:21" ht="47.25" customHeight="1" x14ac:dyDescent="0.25">
      <c r="A6" s="435">
        <v>2</v>
      </c>
      <c r="B6" s="435" t="s">
        <v>272</v>
      </c>
      <c r="C6" s="436" t="s">
        <v>201</v>
      </c>
      <c r="D6" s="613">
        <v>303961900</v>
      </c>
      <c r="E6" s="437">
        <v>73365000</v>
      </c>
      <c r="F6" s="438">
        <v>377326900</v>
      </c>
      <c r="G6" s="437">
        <v>435789000</v>
      </c>
      <c r="H6" s="437">
        <v>99840000</v>
      </c>
      <c r="I6" s="438">
        <v>535629000</v>
      </c>
      <c r="J6" s="437">
        <v>4000000</v>
      </c>
      <c r="K6" s="437">
        <v>4000000</v>
      </c>
      <c r="L6" s="439"/>
      <c r="M6" s="437">
        <v>8000000</v>
      </c>
      <c r="N6" s="438">
        <v>16068870</v>
      </c>
      <c r="O6" s="438">
        <v>24068870</v>
      </c>
      <c r="P6" s="438">
        <v>94681914.533333331</v>
      </c>
      <c r="Q6" s="454">
        <v>0.25092807995754696</v>
      </c>
      <c r="R6" s="454">
        <v>0.17676771521581791</v>
      </c>
      <c r="S6" s="435" t="s">
        <v>202</v>
      </c>
    </row>
    <row r="7" spans="1:21" ht="47.25" customHeight="1" x14ac:dyDescent="0.25">
      <c r="A7" s="435">
        <v>3</v>
      </c>
      <c r="B7" s="435" t="s">
        <v>277</v>
      </c>
      <c r="C7" s="436" t="s">
        <v>278</v>
      </c>
      <c r="D7" s="613">
        <f>'PTLL (3)'!C54</f>
        <v>308950980</v>
      </c>
      <c r="E7" s="437">
        <f>'PTLL (3)'!C56</f>
        <v>81505000</v>
      </c>
      <c r="F7" s="438">
        <f>E7+D7</f>
        <v>390455980</v>
      </c>
      <c r="G7" s="437">
        <f>'PTLL (3)'!J44-'PTLL (3)'!J36</f>
        <v>443979000</v>
      </c>
      <c r="H7" s="437">
        <f>'PTLL (3)'!J36</f>
        <v>110864000</v>
      </c>
      <c r="I7" s="438">
        <f>H7+G7</f>
        <v>554843000</v>
      </c>
      <c r="J7" s="437">
        <v>4000000</v>
      </c>
      <c r="K7" s="437">
        <v>4000000</v>
      </c>
      <c r="L7" s="439"/>
      <c r="M7" s="437">
        <v>8000000</v>
      </c>
      <c r="N7" s="438">
        <f>'PTLL (3)'!C60</f>
        <v>16645290</v>
      </c>
      <c r="O7" s="438">
        <f>N7+M7</f>
        <v>24645290</v>
      </c>
      <c r="P7" s="438">
        <f>'PTLL (3)'!C71</f>
        <v>98696329.093333334</v>
      </c>
      <c r="Q7" s="454">
        <f>P7/F7</f>
        <v>0.25277197468798746</v>
      </c>
      <c r="R7" s="454">
        <f>P7/I7</f>
        <v>0.17788154323535366</v>
      </c>
      <c r="S7" s="435" t="s">
        <v>202</v>
      </c>
    </row>
    <row r="8" spans="1:21" ht="47.25" customHeight="1" x14ac:dyDescent="0.25">
      <c r="A8" s="774" t="s">
        <v>279</v>
      </c>
      <c r="B8" s="774"/>
      <c r="C8" s="774"/>
      <c r="D8" s="774"/>
      <c r="E8" s="437"/>
      <c r="F8" s="438">
        <f>F7-F6</f>
        <v>13129080</v>
      </c>
      <c r="G8" s="437"/>
      <c r="H8" s="437"/>
      <c r="I8" s="438">
        <f>I7-I6</f>
        <v>19214000</v>
      </c>
      <c r="J8" s="439"/>
      <c r="K8" s="439"/>
      <c r="L8" s="439"/>
      <c r="M8" s="439"/>
      <c r="N8" s="437"/>
      <c r="O8" s="438">
        <f>O7-O6</f>
        <v>576420</v>
      </c>
      <c r="P8" s="438">
        <f>P7-P6</f>
        <v>4014414.5600000024</v>
      </c>
      <c r="Q8" s="612">
        <f>Q7-Q6</f>
        <v>1.8438947304404985E-3</v>
      </c>
      <c r="R8" s="612">
        <f>R7-R6</f>
        <v>1.1138280195357453E-3</v>
      </c>
      <c r="S8" s="612"/>
      <c r="U8" s="611"/>
    </row>
    <row r="9" spans="1:21" ht="17.25" x14ac:dyDescent="0.3">
      <c r="A9" s="440"/>
      <c r="B9" s="440"/>
      <c r="C9" s="440"/>
      <c r="D9" s="441"/>
      <c r="E9" s="442"/>
      <c r="F9" s="442"/>
      <c r="G9" s="441"/>
      <c r="H9" s="442"/>
      <c r="I9" s="441" t="s">
        <v>198</v>
      </c>
      <c r="J9" s="442"/>
      <c r="K9" s="442"/>
      <c r="L9" s="443"/>
      <c r="M9" s="442"/>
      <c r="N9" s="11"/>
      <c r="O9" s="444"/>
      <c r="P9" s="773">
        <v>45926</v>
      </c>
      <c r="Q9" s="773"/>
      <c r="R9" s="773"/>
      <c r="S9" s="773"/>
    </row>
    <row r="10" spans="1:21" ht="17.25" x14ac:dyDescent="0.3">
      <c r="A10" s="445"/>
      <c r="B10" s="445"/>
      <c r="C10" s="446" t="s">
        <v>199</v>
      </c>
      <c r="D10" s="447"/>
      <c r="E10" s="447"/>
      <c r="F10" s="446" t="s">
        <v>270</v>
      </c>
      <c r="H10" s="11"/>
      <c r="J10" s="11"/>
      <c r="K10" s="446" t="s">
        <v>132</v>
      </c>
      <c r="L10" s="11"/>
      <c r="M10" s="11"/>
      <c r="N10" s="11"/>
      <c r="O10" s="447"/>
      <c r="P10" s="771" t="s">
        <v>46</v>
      </c>
      <c r="Q10" s="771"/>
      <c r="R10" s="771"/>
      <c r="S10" s="771"/>
    </row>
    <row r="11" spans="1:21" ht="17.25" x14ac:dyDescent="0.3">
      <c r="A11" s="445"/>
      <c r="B11" s="445"/>
      <c r="C11" s="446"/>
      <c r="D11" s="448"/>
      <c r="E11" s="449"/>
      <c r="F11" s="446"/>
      <c r="H11" s="11"/>
      <c r="J11" s="11"/>
      <c r="K11" s="446"/>
      <c r="L11" s="11"/>
      <c r="M11" s="445"/>
      <c r="N11" s="11"/>
      <c r="O11" s="446"/>
      <c r="P11" s="770"/>
      <c r="Q11" s="770"/>
      <c r="R11" s="770"/>
      <c r="S11" s="770"/>
    </row>
    <row r="12" spans="1:21" ht="17.25" x14ac:dyDescent="0.3">
      <c r="A12" s="445"/>
      <c r="B12" s="445"/>
      <c r="C12" s="446"/>
      <c r="D12" s="448"/>
      <c r="E12" s="449"/>
      <c r="F12" s="446"/>
      <c r="H12" s="11"/>
      <c r="J12" s="11"/>
      <c r="K12" s="446"/>
      <c r="L12" s="11"/>
      <c r="M12" s="450"/>
      <c r="N12" s="11"/>
      <c r="O12" s="445"/>
      <c r="P12" s="770"/>
      <c r="Q12" s="770"/>
      <c r="R12" s="770"/>
      <c r="S12" s="770"/>
    </row>
    <row r="13" spans="1:21" ht="17.25" x14ac:dyDescent="0.3">
      <c r="A13" s="445"/>
      <c r="B13" s="445"/>
      <c r="C13" s="446"/>
      <c r="D13" s="448"/>
      <c r="E13" s="449"/>
      <c r="F13" s="446"/>
      <c r="H13" s="11"/>
      <c r="J13" s="11"/>
      <c r="K13" s="446"/>
      <c r="L13" s="11"/>
      <c r="M13" s="450"/>
      <c r="N13" s="11"/>
      <c r="O13" s="445"/>
      <c r="P13" s="770"/>
      <c r="Q13" s="770"/>
      <c r="R13" s="770"/>
      <c r="S13" s="770"/>
    </row>
    <row r="14" spans="1:21" ht="17.25" x14ac:dyDescent="0.3">
      <c r="A14" s="445"/>
      <c r="B14" s="445"/>
      <c r="C14" s="451"/>
      <c r="D14" s="448"/>
      <c r="E14" s="446"/>
      <c r="F14" s="451"/>
      <c r="H14" s="11"/>
      <c r="J14" s="11"/>
      <c r="K14" s="446"/>
      <c r="L14" s="11"/>
      <c r="M14" s="445"/>
      <c r="N14" s="11"/>
      <c r="O14" s="445"/>
      <c r="P14" s="770"/>
      <c r="Q14" s="770"/>
      <c r="R14" s="770"/>
      <c r="S14" s="770"/>
    </row>
    <row r="15" spans="1:21" ht="17.25" x14ac:dyDescent="0.3">
      <c r="A15" s="11"/>
      <c r="B15" s="11"/>
      <c r="C15" s="446" t="s">
        <v>200</v>
      </c>
      <c r="D15" s="447"/>
      <c r="E15" s="447"/>
      <c r="F15" s="446" t="s">
        <v>260</v>
      </c>
      <c r="H15" s="11"/>
      <c r="J15" s="11"/>
      <c r="K15" s="446" t="s">
        <v>73</v>
      </c>
      <c r="L15" s="11"/>
      <c r="M15" s="447"/>
      <c r="N15" s="11"/>
      <c r="O15" s="447"/>
      <c r="P15" s="771" t="s">
        <v>258</v>
      </c>
      <c r="Q15" s="771"/>
      <c r="R15" s="771"/>
      <c r="S15" s="771"/>
    </row>
    <row r="16" spans="1:21" ht="21" x14ac:dyDescent="0.35">
      <c r="A16" s="101"/>
      <c r="B16" s="101"/>
      <c r="C16" s="452"/>
      <c r="D16" s="452"/>
      <c r="E16" s="452"/>
      <c r="F16" s="452"/>
      <c r="G16" s="452"/>
      <c r="H16" s="452"/>
      <c r="I16" s="453"/>
      <c r="J16" s="452"/>
      <c r="K16" s="452"/>
      <c r="L16" s="452"/>
      <c r="M16" s="452"/>
      <c r="N16" s="452"/>
      <c r="O16" s="452"/>
      <c r="P16" s="452"/>
      <c r="Q16" s="452"/>
      <c r="R16" s="452"/>
      <c r="S16" s="101"/>
    </row>
    <row r="73" spans="5:5" x14ac:dyDescent="0.25">
      <c r="E73" s="8">
        <f>'PTLL (3)'!C56</f>
        <v>81505000</v>
      </c>
    </row>
    <row r="74" spans="5:5" x14ac:dyDescent="0.25">
      <c r="E74" s="8">
        <f>'PTLL (3)'!C71</f>
        <v>98696329.093333334</v>
      </c>
    </row>
  </sheetData>
  <mergeCells count="22">
    <mergeCell ref="A8:D8"/>
    <mergeCell ref="B2:B4"/>
    <mergeCell ref="A1:S1"/>
    <mergeCell ref="A2:A4"/>
    <mergeCell ref="C2:C4"/>
    <mergeCell ref="D2:F3"/>
    <mergeCell ref="G2:I3"/>
    <mergeCell ref="J2:O2"/>
    <mergeCell ref="P2:P4"/>
    <mergeCell ref="Q2:Q4"/>
    <mergeCell ref="R2:R4"/>
    <mergeCell ref="S2:S4"/>
    <mergeCell ref="P12:S12"/>
    <mergeCell ref="P13:S13"/>
    <mergeCell ref="P14:S14"/>
    <mergeCell ref="P15:S15"/>
    <mergeCell ref="J3:M3"/>
    <mergeCell ref="N3:N4"/>
    <mergeCell ref="O3:O4"/>
    <mergeCell ref="P9:S9"/>
    <mergeCell ref="P10:S10"/>
    <mergeCell ref="P11:S11"/>
  </mergeCells>
  <conditionalFormatting sqref="A8:B8 E8:K8">
    <cfRule type="expression" dxfId="9" priority="16">
      <formula>#REF!&lt;&gt;0</formula>
    </cfRule>
    <cfRule type="expression" dxfId="8" priority="18">
      <formula>"$B6&lt;&gt;0"</formula>
    </cfRule>
  </conditionalFormatting>
  <conditionalFormatting sqref="A8:B8">
    <cfRule type="expression" priority="14">
      <formula>#REF!&lt;&gt;0</formula>
    </cfRule>
    <cfRule type="expression" dxfId="7" priority="15">
      <formula>#REF!</formula>
    </cfRule>
  </conditionalFormatting>
  <conditionalFormatting sqref="E8:K8">
    <cfRule type="expression" dxfId="6" priority="13">
      <formula>#REF!</formula>
    </cfRule>
    <cfRule type="expression" priority="17">
      <formula>#REF!&lt;&gt;0</formula>
    </cfRule>
  </conditionalFormatting>
  <conditionalFormatting sqref="O8:S8">
    <cfRule type="expression" dxfId="5" priority="1">
      <formula>#REF!</formula>
    </cfRule>
    <cfRule type="expression" dxfId="4" priority="2">
      <formula>#REF!&lt;&gt;0</formula>
    </cfRule>
    <cfRule type="expression" priority="3">
      <formula>#REF!&lt;&gt;0</formula>
    </cfRule>
    <cfRule type="expression" dxfId="3" priority="4">
      <formula>"$B6&lt;&gt;0"</formula>
    </cfRule>
  </conditionalFormatting>
  <conditionalFormatting sqref="U8">
    <cfRule type="expression" dxfId="2" priority="9">
      <formula>#REF!&lt;&gt;0</formula>
    </cfRule>
    <cfRule type="expression" priority="10">
      <formula>#REF!&lt;&gt;0</formula>
    </cfRule>
    <cfRule type="expression" dxfId="1" priority="11">
      <formula>"$B6&lt;&gt;0"</formula>
    </cfRule>
    <cfRule type="expression" dxfId="0" priority="12">
      <formula>#REF!</formula>
    </cfRule>
  </conditionalFormatting>
  <pageMargins left="0.2" right="0.2" top="0.2" bottom="0" header="0" footer="0"/>
  <pageSetup paperSize="9" scale="60" fitToHeight="0" orientation="landscape" r:id="rId1"/>
  <headerFooter>
    <oddFooter>&amp;C&amp;"Times New Roman,Regular"157.2025/BG-TSI-SRR.E&amp;R&amp;"Times New Roman,Regular"Trang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8"/>
  <sheetViews>
    <sheetView topLeftCell="A23" zoomScale="55" zoomScaleNormal="55" workbookViewId="0">
      <selection activeCell="F16" sqref="F16"/>
    </sheetView>
  </sheetViews>
  <sheetFormatPr defaultRowHeight="27.75" x14ac:dyDescent="0.4"/>
  <cols>
    <col min="1" max="1" width="12.85546875" customWidth="1"/>
    <col min="2" max="2" width="34.5703125" customWidth="1"/>
    <col min="3" max="3" width="90" customWidth="1"/>
    <col min="4" max="4" width="18.5703125" customWidth="1"/>
    <col min="5" max="5" width="18.85546875" customWidth="1"/>
    <col min="6" max="6" width="29" bestFit="1" customWidth="1"/>
    <col min="7" max="7" width="33.85546875" customWidth="1"/>
    <col min="8" max="8" width="23" customWidth="1"/>
    <col min="9" max="9" width="25.5703125" style="124" customWidth="1"/>
    <col min="10" max="10" width="31.5703125" style="126" customWidth="1"/>
    <col min="11" max="11" width="25.5703125" style="124" customWidth="1"/>
    <col min="12" max="12" width="31.5703125" customWidth="1"/>
    <col min="13" max="13" width="31" style="142" customWidth="1"/>
    <col min="14" max="14" width="46.42578125" style="126" customWidth="1"/>
    <col min="15" max="15" width="25.5703125" style="134" bestFit="1" customWidth="1"/>
    <col min="16" max="16" width="31.7109375" style="135" customWidth="1"/>
  </cols>
  <sheetData>
    <row r="1" spans="1:16" ht="37.5" x14ac:dyDescent="0.4">
      <c r="A1" s="762" t="s">
        <v>157</v>
      </c>
      <c r="B1" s="762"/>
      <c r="C1" s="762"/>
      <c r="D1" s="763" t="s">
        <v>93</v>
      </c>
      <c r="E1" s="763"/>
      <c r="F1" s="763"/>
      <c r="G1" s="763"/>
      <c r="H1" s="763"/>
    </row>
    <row r="2" spans="1:16" ht="38.25" x14ac:dyDescent="0.4">
      <c r="A2" s="766" t="s">
        <v>153</v>
      </c>
      <c r="B2" s="766"/>
      <c r="C2" s="766"/>
      <c r="D2" s="764" t="s">
        <v>94</v>
      </c>
      <c r="E2" s="764"/>
      <c r="F2" s="764"/>
      <c r="G2" s="764"/>
      <c r="H2" s="764"/>
    </row>
    <row r="3" spans="1:16" ht="38.25" x14ac:dyDescent="0.4">
      <c r="A3" s="766"/>
      <c r="B3" s="766"/>
      <c r="C3" s="766"/>
      <c r="D3" s="764" t="s">
        <v>71</v>
      </c>
      <c r="E3" s="764"/>
      <c r="F3" s="764"/>
      <c r="G3" s="764"/>
      <c r="H3" s="764"/>
    </row>
    <row r="4" spans="1:16" ht="38.25" x14ac:dyDescent="0.4">
      <c r="A4" s="109" t="s">
        <v>154</v>
      </c>
      <c r="B4" s="110"/>
      <c r="C4" s="110"/>
      <c r="D4" s="765" t="s">
        <v>0</v>
      </c>
      <c r="E4" s="765"/>
      <c r="F4" s="765"/>
      <c r="G4" s="765"/>
      <c r="H4" s="765"/>
    </row>
    <row r="5" spans="1:16" ht="37.5" x14ac:dyDescent="0.4">
      <c r="A5" s="761" t="s">
        <v>155</v>
      </c>
      <c r="B5" s="761"/>
      <c r="C5" s="761"/>
      <c r="D5" s="767" t="s">
        <v>158</v>
      </c>
      <c r="E5" s="767"/>
      <c r="F5" s="767"/>
      <c r="G5" s="767"/>
      <c r="H5" s="767"/>
    </row>
    <row r="6" spans="1:16" ht="38.25" x14ac:dyDescent="0.4">
      <c r="A6" s="111" t="s">
        <v>156</v>
      </c>
      <c r="B6" s="18"/>
      <c r="C6" s="18"/>
      <c r="D6" s="760" t="s">
        <v>95</v>
      </c>
      <c r="E6" s="760"/>
      <c r="F6" s="760"/>
      <c r="G6" s="760"/>
      <c r="H6" s="760"/>
    </row>
    <row r="7" spans="1:16" ht="33" x14ac:dyDescent="0.4">
      <c r="A7" s="19"/>
      <c r="B7" s="19"/>
      <c r="C7" s="19"/>
      <c r="D7" s="19"/>
      <c r="E7" s="20"/>
      <c r="F7" s="21"/>
      <c r="G7" s="21"/>
      <c r="H7" s="22"/>
      <c r="I7" s="125">
        <v>0.12</v>
      </c>
      <c r="K7" s="125"/>
      <c r="M7" s="142">
        <v>0.15</v>
      </c>
      <c r="O7" s="136"/>
    </row>
    <row r="8" spans="1:16" ht="66" x14ac:dyDescent="0.4">
      <c r="A8" s="23" t="s">
        <v>1</v>
      </c>
      <c r="B8" s="24" t="s">
        <v>96</v>
      </c>
      <c r="C8" s="24" t="s">
        <v>97</v>
      </c>
      <c r="D8" s="24" t="s">
        <v>98</v>
      </c>
      <c r="E8" s="24" t="s">
        <v>99</v>
      </c>
      <c r="F8" s="25" t="s">
        <v>100</v>
      </c>
      <c r="G8" s="25" t="s">
        <v>2</v>
      </c>
      <c r="H8" s="26" t="s">
        <v>101</v>
      </c>
      <c r="I8" s="128">
        <v>58344960</v>
      </c>
      <c r="J8" s="129">
        <f>I8/$G$40</f>
        <v>0.12</v>
      </c>
      <c r="K8" s="128"/>
      <c r="L8" s="130"/>
      <c r="M8" s="128">
        <f>G40*15%</f>
        <v>72931200</v>
      </c>
      <c r="N8" s="129">
        <f>M8/$G$40</f>
        <v>0.15</v>
      </c>
      <c r="O8" s="137"/>
      <c r="P8" s="138"/>
    </row>
    <row r="9" spans="1:16" ht="33" x14ac:dyDescent="0.4">
      <c r="A9" s="27" t="s">
        <v>102</v>
      </c>
      <c r="B9" s="28"/>
      <c r="C9" s="29"/>
      <c r="D9" s="29"/>
      <c r="E9" s="29"/>
      <c r="F9" s="29"/>
      <c r="G9" s="30">
        <f>SUBTOTAL(9,G10:G20)</f>
        <v>233711000</v>
      </c>
      <c r="H9" s="31"/>
      <c r="I9" s="128">
        <f>J40-G40</f>
        <v>58344960</v>
      </c>
      <c r="J9" s="131">
        <f>I8-I9</f>
        <v>0</v>
      </c>
      <c r="K9" s="128"/>
      <c r="L9" s="130"/>
      <c r="M9" s="128"/>
      <c r="N9" s="131">
        <f>M8-M9</f>
        <v>72931200</v>
      </c>
      <c r="O9" s="137"/>
      <c r="P9" s="138"/>
    </row>
    <row r="10" spans="1:16" ht="273.75" customHeight="1" x14ac:dyDescent="0.25">
      <c r="A10" s="32">
        <f>_xlfn.AGGREGATE(3,3,$B$10:B10)</f>
        <v>1</v>
      </c>
      <c r="B10" s="55" t="str">
        <f>'PTLL (2)'!B5</f>
        <v>Camera IP Dome 2MP HIKVISION
DS-2CD1121G0-I</v>
      </c>
      <c r="C10" s="100" t="s">
        <v>165</v>
      </c>
      <c r="D10" s="32" t="str">
        <f>VLOOKUP(B10,'PTLL (2)'!$B$5:$J$42,2,0)</f>
        <v>Cái</v>
      </c>
      <c r="E10" s="33">
        <f>VLOOKUP(B10,'PTLL (2)'!$B$5:$J$42,3,0)</f>
        <v>113</v>
      </c>
      <c r="F10" s="33">
        <f>VLOOKUP(B10,'PTLL (2)'!$B$5:$J$42,8,0)</f>
        <v>650000</v>
      </c>
      <c r="G10" s="33">
        <f>E10*F10</f>
        <v>73450000</v>
      </c>
      <c r="H10" s="34"/>
      <c r="I10" s="132">
        <f>G10*(1+$J$8)/E10</f>
        <v>728000.00000000012</v>
      </c>
      <c r="J10" s="132">
        <f>I10*E10</f>
        <v>82264000.000000015</v>
      </c>
      <c r="K10" s="132">
        <v>730000</v>
      </c>
      <c r="L10" s="132">
        <f>K10*E10</f>
        <v>82490000</v>
      </c>
      <c r="M10" s="132">
        <f>G10*(1+$M$7)/E10</f>
        <v>747500</v>
      </c>
      <c r="N10" s="132">
        <f>M10*E10</f>
        <v>84467500</v>
      </c>
      <c r="O10" s="139">
        <v>805000</v>
      </c>
      <c r="P10" s="139">
        <f t="shared" ref="P10:P17" si="0">O10*E10</f>
        <v>90965000</v>
      </c>
    </row>
    <row r="11" spans="1:16" ht="275.25" customHeight="1" x14ac:dyDescent="0.25">
      <c r="A11" s="35">
        <f>_xlfn.AGGREGATE(3,3,$B$10:B11)</f>
        <v>2</v>
      </c>
      <c r="B11" s="42" t="str">
        <f>'PTLL (2)'!B6</f>
        <v>Camera IP thân 2MP HIKVISION 
DS-2CD1021G0-I</v>
      </c>
      <c r="C11" s="113" t="s">
        <v>166</v>
      </c>
      <c r="D11" s="35" t="str">
        <f>VLOOKUP(B11,'PTLL (2)'!$B$5:$J$42,2,0)</f>
        <v>Cái</v>
      </c>
      <c r="E11" s="104">
        <f>VLOOKUP(B11,'PTLL (2)'!$B$5:$J$42,3,0)</f>
        <v>14</v>
      </c>
      <c r="F11" s="104">
        <f>VLOOKUP(B11,'PTLL (2)'!$B$5:$J$42,8,0)</f>
        <v>633000</v>
      </c>
      <c r="G11" s="104">
        <f t="shared" ref="G11:G28" si="1">E11*F11</f>
        <v>8862000</v>
      </c>
      <c r="H11" s="37"/>
      <c r="I11" s="132">
        <f>G11*(1+$J$8)/E11</f>
        <v>708960.00000000012</v>
      </c>
      <c r="J11" s="132">
        <f t="shared" ref="J11:J39" si="2">I11*E11</f>
        <v>9925440.0000000019</v>
      </c>
      <c r="K11" s="132">
        <v>710000</v>
      </c>
      <c r="L11" s="132">
        <f t="shared" ref="L11:L16" si="3">K11*E11</f>
        <v>9940000</v>
      </c>
      <c r="M11" s="132">
        <f>G11*(1+$M$7)/E11</f>
        <v>727950</v>
      </c>
      <c r="N11" s="132">
        <f t="shared" ref="N11:N39" si="4">M11*E11</f>
        <v>10191300</v>
      </c>
      <c r="O11" s="139">
        <v>805000</v>
      </c>
      <c r="P11" s="139">
        <f t="shared" si="0"/>
        <v>11270000</v>
      </c>
    </row>
    <row r="12" spans="1:16" ht="283.5" customHeight="1" x14ac:dyDescent="0.25">
      <c r="A12" s="35">
        <f>_xlfn.AGGREGATE(3,3,$B$10:B12)</f>
        <v>3</v>
      </c>
      <c r="B12" s="42" t="str">
        <f>'PTLL (2)'!B7</f>
        <v>Đầu ghi hình camera IP 32 kênh HIKVISION DS-7732NXI-K4</v>
      </c>
      <c r="C12" s="38" t="s">
        <v>167</v>
      </c>
      <c r="D12" s="35" t="str">
        <f>VLOOKUP(B12,'PTLL (2)'!$B$5:$J$42,2,0)</f>
        <v>Cái</v>
      </c>
      <c r="E12" s="104">
        <f>VLOOKUP(B12,'PTLL (2)'!$B$5:$J$42,3,0)</f>
        <v>4</v>
      </c>
      <c r="F12" s="104">
        <f>VLOOKUP(B12,'PTLL (2)'!$B$5:$J$42,8,0)</f>
        <v>8649000</v>
      </c>
      <c r="G12" s="104">
        <f t="shared" si="1"/>
        <v>34596000</v>
      </c>
      <c r="H12" s="39"/>
      <c r="I12" s="132">
        <f t="shared" ref="I12:I39" si="5">G12*(1+$J$8)/E12</f>
        <v>9686880</v>
      </c>
      <c r="J12" s="132">
        <f t="shared" si="2"/>
        <v>38747520</v>
      </c>
      <c r="K12" s="132">
        <v>9340000</v>
      </c>
      <c r="L12" s="132">
        <f t="shared" si="3"/>
        <v>37360000</v>
      </c>
      <c r="M12" s="132">
        <f t="shared" ref="M12:M39" si="6">G12*(1+$M$7)/E12</f>
        <v>9946350</v>
      </c>
      <c r="N12" s="132">
        <f t="shared" si="4"/>
        <v>39785400</v>
      </c>
      <c r="O12" s="139">
        <v>8950000</v>
      </c>
      <c r="P12" s="139">
        <f t="shared" si="0"/>
        <v>35800000</v>
      </c>
    </row>
    <row r="13" spans="1:16" ht="186.75" customHeight="1" x14ac:dyDescent="0.25">
      <c r="A13" s="35">
        <f>_xlfn.AGGREGATE(3,3,$B$10:B13)</f>
        <v>4</v>
      </c>
      <c r="B13" s="42" t="str">
        <f>'PTLL (2)'!B8</f>
        <v>Ổ Cứng 8T WESTERN</v>
      </c>
      <c r="C13" s="38" t="s">
        <v>168</v>
      </c>
      <c r="D13" s="35" t="str">
        <f>VLOOKUP(B13,'PTLL (2)'!$B$5:$J$42,2,0)</f>
        <v>Cái</v>
      </c>
      <c r="E13" s="104">
        <f>VLOOKUP(B13,'PTLL (2)'!$B$5:$J$42,3,0)</f>
        <v>8</v>
      </c>
      <c r="F13" s="104">
        <f>VLOOKUP(B13,'PTLL (2)'!$B$5:$J$42,8,0)</f>
        <v>5350000</v>
      </c>
      <c r="G13" s="104">
        <f t="shared" si="1"/>
        <v>42800000</v>
      </c>
      <c r="H13" s="38"/>
      <c r="I13" s="132">
        <f t="shared" si="5"/>
        <v>5992000.0000000009</v>
      </c>
      <c r="J13" s="132">
        <f t="shared" si="2"/>
        <v>47936000.000000007</v>
      </c>
      <c r="K13" s="132">
        <f>I13</f>
        <v>5992000.0000000009</v>
      </c>
      <c r="L13" s="132">
        <f t="shared" si="3"/>
        <v>47936000.000000007</v>
      </c>
      <c r="M13" s="132">
        <f t="shared" si="6"/>
        <v>6152499.9999999991</v>
      </c>
      <c r="N13" s="132">
        <f t="shared" si="4"/>
        <v>49219999.999999993</v>
      </c>
      <c r="O13" s="139">
        <v>5980000</v>
      </c>
      <c r="P13" s="139">
        <f t="shared" si="0"/>
        <v>47840000</v>
      </c>
    </row>
    <row r="14" spans="1:16" ht="276.75" x14ac:dyDescent="0.25">
      <c r="A14" s="35">
        <f>_xlfn.AGGREGATE(3,3,$B$10:B14)</f>
        <v>5</v>
      </c>
      <c r="B14" s="42" t="str">
        <f>'PTLL (2)'!B9</f>
        <v>Switch Hikvision POE 24 cổng DS-3E1326P-EI</v>
      </c>
      <c r="C14" s="40" t="s">
        <v>169</v>
      </c>
      <c r="D14" s="35" t="str">
        <f>VLOOKUP(B14,'PTLL (2)'!$B$5:$J$42,2,0)</f>
        <v>Cái</v>
      </c>
      <c r="E14" s="104">
        <f>VLOOKUP(B14,'PTLL (2)'!$B$5:$J$42,3,0)</f>
        <v>4</v>
      </c>
      <c r="F14" s="104">
        <f>VLOOKUP(B14,'PTLL (2)'!$B$5:$J$42,8,0)</f>
        <v>4524000</v>
      </c>
      <c r="G14" s="104">
        <f t="shared" si="1"/>
        <v>18096000</v>
      </c>
      <c r="H14" s="39"/>
      <c r="I14" s="132">
        <f t="shared" si="5"/>
        <v>5066880.0000000009</v>
      </c>
      <c r="J14" s="132">
        <f t="shared" si="2"/>
        <v>20267520.000000004</v>
      </c>
      <c r="K14" s="132">
        <f>5077000</f>
        <v>5077000</v>
      </c>
      <c r="L14" s="132">
        <f t="shared" si="3"/>
        <v>20308000</v>
      </c>
      <c r="M14" s="132">
        <f t="shared" si="6"/>
        <v>5202600</v>
      </c>
      <c r="N14" s="132">
        <f t="shared" si="4"/>
        <v>20810400</v>
      </c>
      <c r="O14" s="139">
        <v>4670000</v>
      </c>
      <c r="P14" s="139">
        <f t="shared" si="0"/>
        <v>18680000</v>
      </c>
    </row>
    <row r="15" spans="1:16" ht="270.75" customHeight="1" x14ac:dyDescent="0.25">
      <c r="A15" s="35">
        <f>_xlfn.AGGREGATE(3,3,$B$10:B15)</f>
        <v>6</v>
      </c>
      <c r="B15" s="42" t="str">
        <f>'PTLL (2)'!B10</f>
        <v>Switch Hikvision POE 16 cổng DS-3E1318P-EI</v>
      </c>
      <c r="C15" s="41" t="s">
        <v>170</v>
      </c>
      <c r="D15" s="35" t="str">
        <f>VLOOKUP(B15,'PTLL (2)'!$B$5:$J$42,2,0)</f>
        <v>Cái</v>
      </c>
      <c r="E15" s="104">
        <f>VLOOKUP(B15,'PTLL (2)'!$B$5:$J$42,3,0)</f>
        <v>4</v>
      </c>
      <c r="F15" s="104">
        <f>VLOOKUP(B15,'PTLL (2)'!$B$5:$J$42,8,0)</f>
        <v>3962000</v>
      </c>
      <c r="G15" s="104">
        <f t="shared" si="1"/>
        <v>15848000</v>
      </c>
      <c r="H15" s="39"/>
      <c r="I15" s="132">
        <f t="shared" si="5"/>
        <v>4437440</v>
      </c>
      <c r="J15" s="132">
        <f t="shared" si="2"/>
        <v>17749760</v>
      </c>
      <c r="K15" s="132">
        <v>4438000</v>
      </c>
      <c r="L15" s="132">
        <f t="shared" si="3"/>
        <v>17752000</v>
      </c>
      <c r="M15" s="132">
        <f t="shared" si="6"/>
        <v>4556300</v>
      </c>
      <c r="N15" s="132">
        <f t="shared" si="4"/>
        <v>18225200</v>
      </c>
      <c r="O15" s="139">
        <v>4270000</v>
      </c>
      <c r="P15" s="139">
        <f t="shared" si="0"/>
        <v>17080000</v>
      </c>
    </row>
    <row r="16" spans="1:16" ht="132" x14ac:dyDescent="0.25">
      <c r="A16" s="35">
        <f>_xlfn.AGGREGATE(3,3,$B$10:B16)</f>
        <v>7</v>
      </c>
      <c r="B16" s="42" t="str">
        <f>'PTLL (2)'!B11</f>
        <v>Switch 16 port CISCO CBS110-16T-EU</v>
      </c>
      <c r="C16" s="40" t="s">
        <v>171</v>
      </c>
      <c r="D16" s="35" t="str">
        <f>VLOOKUP(B16,'PTLL (2)'!$B$5:$J$42,2,0)</f>
        <v>Cái</v>
      </c>
      <c r="E16" s="104">
        <f>VLOOKUP(B16,'PTLL (2)'!$B$5:$J$42,3,0)</f>
        <v>1</v>
      </c>
      <c r="F16" s="104">
        <f>VLOOKUP(B16,'PTLL (2)'!$B$5:$J$42,8,0)</f>
        <v>3475000</v>
      </c>
      <c r="G16" s="104">
        <f t="shared" si="1"/>
        <v>3475000</v>
      </c>
      <c r="H16" s="123"/>
      <c r="I16" s="132">
        <f t="shared" si="5"/>
        <v>3892000.0000000005</v>
      </c>
      <c r="J16" s="132">
        <f t="shared" si="2"/>
        <v>3892000.0000000005</v>
      </c>
      <c r="K16" s="132">
        <f>I16</f>
        <v>3892000.0000000005</v>
      </c>
      <c r="L16" s="132">
        <f t="shared" si="3"/>
        <v>3892000.0000000005</v>
      </c>
      <c r="M16" s="132">
        <f t="shared" si="6"/>
        <v>3996249.9999999995</v>
      </c>
      <c r="N16" s="132">
        <f t="shared" si="4"/>
        <v>3996249.9999999995</v>
      </c>
      <c r="O16" s="139">
        <v>3997000</v>
      </c>
      <c r="P16" s="139">
        <f t="shared" si="0"/>
        <v>3997000</v>
      </c>
    </row>
    <row r="17" spans="1:16" ht="33" x14ac:dyDescent="0.25">
      <c r="A17" s="35">
        <v>8</v>
      </c>
      <c r="B17" s="112" t="s">
        <v>160</v>
      </c>
      <c r="C17" s="36"/>
      <c r="D17" s="35" t="s">
        <v>146</v>
      </c>
      <c r="E17" s="104">
        <v>4</v>
      </c>
      <c r="F17" s="104">
        <f>SUM('PTLL (2)'!I12:I14)</f>
        <v>9146000</v>
      </c>
      <c r="G17" s="104">
        <f t="shared" si="1"/>
        <v>36584000</v>
      </c>
      <c r="H17" s="123"/>
      <c r="I17" s="132">
        <f t="shared" si="5"/>
        <v>10243520.000000002</v>
      </c>
      <c r="J17" s="132">
        <f t="shared" si="2"/>
        <v>40974080.000000007</v>
      </c>
      <c r="K17" s="132">
        <v>9000000</v>
      </c>
      <c r="L17" s="132">
        <f t="shared" ref="L17:L39" si="7">K17*E17</f>
        <v>36000000</v>
      </c>
      <c r="M17" s="132">
        <f t="shared" si="6"/>
        <v>10517900</v>
      </c>
      <c r="N17" s="132">
        <f t="shared" si="4"/>
        <v>42071600</v>
      </c>
      <c r="O17" s="139">
        <v>9250000</v>
      </c>
      <c r="P17" s="139">
        <f t="shared" si="0"/>
        <v>37000000</v>
      </c>
    </row>
    <row r="18" spans="1:16" ht="33" x14ac:dyDescent="0.25">
      <c r="A18" s="35">
        <v>8.1</v>
      </c>
      <c r="B18" s="785" t="str">
        <f>'PTLL (2)'!B12</f>
        <v>Màn hình quan sát SamSung 43inch</v>
      </c>
      <c r="C18" s="786"/>
      <c r="D18" s="35" t="str">
        <f>VLOOKUP(B18,'PTLL (2)'!$B$5:$J$42,2,0)</f>
        <v>Cái</v>
      </c>
      <c r="E18" s="104">
        <f>VLOOKUP(B18,'PTLL (2)'!$B$5:$J$42,3,0)</f>
        <v>4</v>
      </c>
      <c r="F18" s="104"/>
      <c r="G18" s="104"/>
      <c r="H18" s="39"/>
      <c r="I18" s="132">
        <f t="shared" si="5"/>
        <v>0</v>
      </c>
      <c r="J18" s="132">
        <f t="shared" si="2"/>
        <v>0</v>
      </c>
      <c r="K18" s="132"/>
      <c r="L18" s="132">
        <f t="shared" si="7"/>
        <v>0</v>
      </c>
      <c r="M18" s="132">
        <f t="shared" si="6"/>
        <v>0</v>
      </c>
      <c r="N18" s="132">
        <f t="shared" si="4"/>
        <v>0</v>
      </c>
      <c r="O18" s="139"/>
      <c r="P18" s="139">
        <f t="shared" ref="P18:P20" si="8">O18*I18</f>
        <v>0</v>
      </c>
    </row>
    <row r="19" spans="1:16" ht="33" x14ac:dyDescent="0.25">
      <c r="A19" s="35">
        <v>8.1999999999999993</v>
      </c>
      <c r="B19" s="114" t="str">
        <f>'PTLL (2)'!B13</f>
        <v>Khung kệ tivi</v>
      </c>
      <c r="C19" s="115"/>
      <c r="D19" s="35" t="str">
        <f>VLOOKUP(B19,'PTLL (2)'!$B$5:$J$42,2,0)</f>
        <v>Cái</v>
      </c>
      <c r="E19" s="104">
        <f>VLOOKUP(B19,'PTLL (2)'!$B$5:$J$42,3,0)</f>
        <v>4</v>
      </c>
      <c r="F19" s="104"/>
      <c r="G19" s="104"/>
      <c r="H19" s="39"/>
      <c r="I19" s="132">
        <f t="shared" si="5"/>
        <v>0</v>
      </c>
      <c r="J19" s="132">
        <f t="shared" si="2"/>
        <v>0</v>
      </c>
      <c r="K19" s="132">
        <v>500000</v>
      </c>
      <c r="L19" s="132">
        <f t="shared" si="7"/>
        <v>2000000</v>
      </c>
      <c r="M19" s="132">
        <f t="shared" si="6"/>
        <v>0</v>
      </c>
      <c r="N19" s="132">
        <f t="shared" si="4"/>
        <v>0</v>
      </c>
      <c r="O19" s="139">
        <v>500000</v>
      </c>
      <c r="P19" s="139">
        <f t="shared" si="8"/>
        <v>0</v>
      </c>
    </row>
    <row r="20" spans="1:16" ht="33" x14ac:dyDescent="0.25">
      <c r="A20" s="106">
        <v>8.3000000000000007</v>
      </c>
      <c r="B20" s="118" t="str">
        <f>'PTLL (2)'!B14</f>
        <v>Cáp HDMI 15m Unitek</v>
      </c>
      <c r="C20" s="116"/>
      <c r="D20" s="106" t="str">
        <f>VLOOKUP(B20,'PTLL (2)'!$B$5:$J$42,2,0)</f>
        <v xml:space="preserve">Sợi </v>
      </c>
      <c r="E20" s="107">
        <f>VLOOKUP(B20,'PTLL (2)'!$B$5:$J$42,3,0)</f>
        <v>4</v>
      </c>
      <c r="F20" s="107"/>
      <c r="G20" s="107"/>
      <c r="H20" s="117"/>
      <c r="I20" s="132">
        <f t="shared" si="5"/>
        <v>0</v>
      </c>
      <c r="J20" s="132">
        <f t="shared" si="2"/>
        <v>0</v>
      </c>
      <c r="K20" s="132">
        <v>700000</v>
      </c>
      <c r="L20" s="132">
        <f t="shared" si="7"/>
        <v>2800000</v>
      </c>
      <c r="M20" s="132">
        <f t="shared" si="6"/>
        <v>0</v>
      </c>
      <c r="N20" s="132">
        <f t="shared" si="4"/>
        <v>0</v>
      </c>
      <c r="O20" s="139">
        <v>700000</v>
      </c>
      <c r="P20" s="139">
        <f t="shared" si="8"/>
        <v>0</v>
      </c>
    </row>
    <row r="21" spans="1:16" ht="33" x14ac:dyDescent="0.25">
      <c r="A21" s="45" t="s">
        <v>103</v>
      </c>
      <c r="B21" s="45"/>
      <c r="C21" s="46"/>
      <c r="D21" s="46"/>
      <c r="E21" s="46"/>
      <c r="F21" s="46"/>
      <c r="G21" s="47">
        <f>SUBTOTAL(9,G22:G28)</f>
        <v>86116000</v>
      </c>
      <c r="H21" s="48"/>
      <c r="I21" s="132"/>
      <c r="J21" s="132">
        <f t="shared" si="2"/>
        <v>0</v>
      </c>
      <c r="K21" s="132"/>
      <c r="L21" s="130"/>
      <c r="M21" s="132"/>
      <c r="N21" s="132">
        <f t="shared" si="4"/>
        <v>0</v>
      </c>
      <c r="O21" s="139"/>
      <c r="P21" s="138"/>
    </row>
    <row r="22" spans="1:16" ht="33" x14ac:dyDescent="0.25">
      <c r="A22" s="32">
        <v>1</v>
      </c>
      <c r="B22" s="787" t="str">
        <f>'PTLL (2)'!B16</f>
        <v xml:space="preserve">Cáp quang 4FO </v>
      </c>
      <c r="C22" s="788"/>
      <c r="D22" s="32" t="str">
        <f>VLOOKUP(B22,'PTLL (2)'!$B$5:$J$42,2,0)</f>
        <v xml:space="preserve">Mét </v>
      </c>
      <c r="E22" s="33">
        <f>VLOOKUP(B22,'PTLL (2)'!$B$5:$J$42,3,0)</f>
        <v>400</v>
      </c>
      <c r="F22" s="33">
        <f>VLOOKUP(B22,'PTLL (2)'!$B$5:$J$42,8,0)</f>
        <v>5600</v>
      </c>
      <c r="G22" s="33">
        <f t="shared" si="1"/>
        <v>2240000</v>
      </c>
      <c r="H22" s="103"/>
      <c r="I22" s="132">
        <f t="shared" si="5"/>
        <v>6272.0000000000009</v>
      </c>
      <c r="J22" s="132">
        <f t="shared" si="2"/>
        <v>2508800.0000000005</v>
      </c>
      <c r="K22" s="132">
        <v>6000</v>
      </c>
      <c r="L22" s="132">
        <f t="shared" si="7"/>
        <v>2400000</v>
      </c>
      <c r="M22" s="132">
        <f t="shared" si="6"/>
        <v>6440</v>
      </c>
      <c r="N22" s="132">
        <f t="shared" si="4"/>
        <v>2576000</v>
      </c>
      <c r="O22" s="139">
        <v>6000</v>
      </c>
      <c r="P22" s="139">
        <f t="shared" ref="P22:P28" si="9">O22*E22</f>
        <v>2400000</v>
      </c>
    </row>
    <row r="23" spans="1:16" ht="33" x14ac:dyDescent="0.25">
      <c r="A23" s="35">
        <v>2</v>
      </c>
      <c r="B23" s="785" t="str">
        <f>'PTLL (2)'!B17</f>
        <v>Cáp mạng Cat5E</v>
      </c>
      <c r="C23" s="786"/>
      <c r="D23" s="35" t="str">
        <f>VLOOKUP(B23,'PTLL (2)'!$B$5:$J$42,2,0)</f>
        <v xml:space="preserve">Mét </v>
      </c>
      <c r="E23" s="104">
        <f>VLOOKUP(B23,'PTLL (2)'!$B$5:$J$42,3,0)</f>
        <v>7300</v>
      </c>
      <c r="F23" s="104">
        <f>VLOOKUP(B23,'PTLL (2)'!$B$5:$J$42,8,0)</f>
        <v>9000</v>
      </c>
      <c r="G23" s="104">
        <f t="shared" si="1"/>
        <v>65700000</v>
      </c>
      <c r="H23" s="39"/>
      <c r="I23" s="132">
        <f t="shared" si="5"/>
        <v>10080</v>
      </c>
      <c r="J23" s="132">
        <f t="shared" si="2"/>
        <v>73584000</v>
      </c>
      <c r="K23" s="132">
        <v>10500</v>
      </c>
      <c r="L23" s="132">
        <f t="shared" si="7"/>
        <v>76650000</v>
      </c>
      <c r="M23" s="132">
        <f t="shared" si="6"/>
        <v>10350</v>
      </c>
      <c r="N23" s="132">
        <f t="shared" si="4"/>
        <v>75555000</v>
      </c>
      <c r="O23" s="139">
        <v>10500</v>
      </c>
      <c r="P23" s="139">
        <f t="shared" si="9"/>
        <v>76650000</v>
      </c>
    </row>
    <row r="24" spans="1:16" ht="33" x14ac:dyDescent="0.25">
      <c r="A24" s="35">
        <v>3</v>
      </c>
      <c r="B24" s="785" t="str">
        <f>'PTLL (2)'!B18</f>
        <v>Converter A/B 1000M</v>
      </c>
      <c r="C24" s="786"/>
      <c r="D24" s="35" t="str">
        <f>VLOOKUP(B24,'PTLL (2)'!$B$5:$J$42,2,0)</f>
        <v xml:space="preserve">Bộ </v>
      </c>
      <c r="E24" s="104">
        <f>VLOOKUP(B24,'PTLL (2)'!$B$5:$J$42,3,0)</f>
        <v>4</v>
      </c>
      <c r="F24" s="104">
        <f>VLOOKUP(B24,'PTLL (2)'!$B$5:$J$42,8,0)</f>
        <v>1080000</v>
      </c>
      <c r="G24" s="104">
        <f t="shared" si="1"/>
        <v>4320000</v>
      </c>
      <c r="H24" s="39"/>
      <c r="I24" s="132">
        <f t="shared" si="5"/>
        <v>1209600</v>
      </c>
      <c r="J24" s="132">
        <f t="shared" si="2"/>
        <v>4838400</v>
      </c>
      <c r="K24" s="132">
        <v>1380000</v>
      </c>
      <c r="L24" s="132">
        <f t="shared" si="7"/>
        <v>5520000</v>
      </c>
      <c r="M24" s="132">
        <f t="shared" si="6"/>
        <v>1242000</v>
      </c>
      <c r="N24" s="132">
        <f t="shared" si="4"/>
        <v>4968000</v>
      </c>
      <c r="O24" s="139">
        <v>1280000</v>
      </c>
      <c r="P24" s="139">
        <f t="shared" si="9"/>
        <v>5120000</v>
      </c>
    </row>
    <row r="25" spans="1:16" ht="33" x14ac:dyDescent="0.25">
      <c r="A25" s="35">
        <v>4</v>
      </c>
      <c r="B25" s="785" t="str">
        <f>'PTLL (2)'!B19</f>
        <v>Tủ mạng rack 6U</v>
      </c>
      <c r="C25" s="786"/>
      <c r="D25" s="35" t="str">
        <f>VLOOKUP(B25,'PTLL (2)'!$B$5:$J$42,2,0)</f>
        <v>Cái</v>
      </c>
      <c r="E25" s="104">
        <f>VLOOKUP(B25,'PTLL (2)'!$B$5:$J$42,3,0)</f>
        <v>2</v>
      </c>
      <c r="F25" s="104">
        <f>VLOOKUP(B25,'PTLL (2)'!$B$5:$J$42,8,0)</f>
        <v>1015000</v>
      </c>
      <c r="G25" s="104">
        <f t="shared" si="1"/>
        <v>2030000</v>
      </c>
      <c r="H25" s="39"/>
      <c r="I25" s="132">
        <f t="shared" si="5"/>
        <v>1136800</v>
      </c>
      <c r="J25" s="132">
        <f t="shared" si="2"/>
        <v>2273600</v>
      </c>
      <c r="K25" s="132">
        <v>1250000</v>
      </c>
      <c r="L25" s="132">
        <f t="shared" si="7"/>
        <v>2500000</v>
      </c>
      <c r="M25" s="132">
        <f t="shared" si="6"/>
        <v>1167250</v>
      </c>
      <c r="N25" s="132">
        <f t="shared" si="4"/>
        <v>2334500</v>
      </c>
      <c r="O25" s="139">
        <v>1200000</v>
      </c>
      <c r="P25" s="139">
        <f t="shared" si="9"/>
        <v>2400000</v>
      </c>
    </row>
    <row r="26" spans="1:16" ht="33" x14ac:dyDescent="0.25">
      <c r="A26" s="35">
        <v>5</v>
      </c>
      <c r="B26" s="785" t="str">
        <f>'PTLL (2)'!B20</f>
        <v>Tủ mạng rack 10U</v>
      </c>
      <c r="C26" s="786"/>
      <c r="D26" s="35" t="str">
        <f>VLOOKUP(B26,'PTLL (2)'!$B$5:$J$42,2,0)</f>
        <v>Cái</v>
      </c>
      <c r="E26" s="104">
        <f>VLOOKUP(B26,'PTLL (2)'!$B$5:$J$42,3,0)</f>
        <v>2</v>
      </c>
      <c r="F26" s="104">
        <f>VLOOKUP(B26,'PTLL (2)'!$B$5:$J$42,8,0)</f>
        <v>1638000</v>
      </c>
      <c r="G26" s="104">
        <f t="shared" si="1"/>
        <v>3276000</v>
      </c>
      <c r="H26" s="39"/>
      <c r="I26" s="132">
        <f t="shared" si="5"/>
        <v>1834560.0000000002</v>
      </c>
      <c r="J26" s="132">
        <f t="shared" si="2"/>
        <v>3669120.0000000005</v>
      </c>
      <c r="K26" s="132">
        <v>1760000</v>
      </c>
      <c r="L26" s="132">
        <f t="shared" si="7"/>
        <v>3520000</v>
      </c>
      <c r="M26" s="132">
        <f t="shared" si="6"/>
        <v>1883699.9999999998</v>
      </c>
      <c r="N26" s="132">
        <f t="shared" si="4"/>
        <v>3767399.9999999995</v>
      </c>
      <c r="O26" s="139">
        <v>1780000</v>
      </c>
      <c r="P26" s="139">
        <f t="shared" si="9"/>
        <v>3560000</v>
      </c>
    </row>
    <row r="27" spans="1:16" ht="33" x14ac:dyDescent="0.25">
      <c r="A27" s="35">
        <v>6</v>
      </c>
      <c r="B27" s="785" t="str">
        <f>'PTLL (2)'!B21</f>
        <v>Tủ mạng rack 42U</v>
      </c>
      <c r="C27" s="786"/>
      <c r="D27" s="35" t="str">
        <f>VLOOKUP(B27,'PTLL (2)'!$B$5:$J$42,2,0)</f>
        <v>Cái</v>
      </c>
      <c r="E27" s="104">
        <f>VLOOKUP(B27,'PTLL (2)'!$B$5:$J$42,3,0)</f>
        <v>1</v>
      </c>
      <c r="F27" s="104">
        <f>VLOOKUP(B27,'PTLL (2)'!$B$5:$J$42,8,0)</f>
        <v>7875000</v>
      </c>
      <c r="G27" s="104">
        <f t="shared" si="1"/>
        <v>7875000</v>
      </c>
      <c r="H27" s="39"/>
      <c r="I27" s="132">
        <f t="shared" si="5"/>
        <v>8820000</v>
      </c>
      <c r="J27" s="132">
        <f t="shared" si="2"/>
        <v>8820000</v>
      </c>
      <c r="K27" s="132">
        <f>I27</f>
        <v>8820000</v>
      </c>
      <c r="L27" s="132">
        <f t="shared" si="7"/>
        <v>8820000</v>
      </c>
      <c r="M27" s="132">
        <f t="shared" si="6"/>
        <v>9056250</v>
      </c>
      <c r="N27" s="132">
        <f t="shared" si="4"/>
        <v>9056250</v>
      </c>
      <c r="O27" s="139">
        <v>8900000</v>
      </c>
      <c r="P27" s="139">
        <f t="shared" si="9"/>
        <v>8900000</v>
      </c>
    </row>
    <row r="28" spans="1:16" ht="33" x14ac:dyDescent="0.25">
      <c r="A28" s="105">
        <v>7</v>
      </c>
      <c r="B28" s="789" t="str">
        <f>'PTLL (2)'!B22</f>
        <v xml:space="preserve">ODF 12 FO </v>
      </c>
      <c r="C28" s="790"/>
      <c r="D28" s="106" t="str">
        <f>VLOOKUP(B28,'PTLL (2)'!$B$5:$J$42,2,0)</f>
        <v>Cái</v>
      </c>
      <c r="E28" s="107">
        <f>VLOOKUP(B28,'PTLL (2)'!$B$5:$J$42,3,0)</f>
        <v>1</v>
      </c>
      <c r="F28" s="107">
        <f>VLOOKUP(B28,'PTLL (2)'!$B$5:$J$42,8,0)</f>
        <v>675000</v>
      </c>
      <c r="G28" s="107">
        <f t="shared" si="1"/>
        <v>675000</v>
      </c>
      <c r="H28" s="108"/>
      <c r="I28" s="132">
        <f t="shared" si="5"/>
        <v>756000.00000000012</v>
      </c>
      <c r="J28" s="132">
        <f t="shared" si="2"/>
        <v>756000.00000000012</v>
      </c>
      <c r="K28" s="132">
        <v>750000</v>
      </c>
      <c r="L28" s="132">
        <f t="shared" si="7"/>
        <v>750000</v>
      </c>
      <c r="M28" s="132">
        <f t="shared" si="6"/>
        <v>776249.99999999988</v>
      </c>
      <c r="N28" s="132">
        <f t="shared" si="4"/>
        <v>776249.99999999988</v>
      </c>
      <c r="O28" s="139">
        <v>785000</v>
      </c>
      <c r="P28" s="139">
        <f t="shared" si="9"/>
        <v>785000</v>
      </c>
    </row>
    <row r="29" spans="1:16" ht="33" x14ac:dyDescent="0.25">
      <c r="A29" s="27" t="s">
        <v>104</v>
      </c>
      <c r="B29" s="49"/>
      <c r="C29" s="50"/>
      <c r="D29" s="49"/>
      <c r="E29" s="51"/>
      <c r="F29" s="52"/>
      <c r="G29" s="53">
        <f>SUBTOTAL(9,G30:G31)</f>
        <v>6360000</v>
      </c>
      <c r="H29" s="54"/>
      <c r="I29" s="132"/>
      <c r="J29" s="132">
        <f t="shared" si="2"/>
        <v>0</v>
      </c>
      <c r="K29" s="132"/>
      <c r="L29" s="130"/>
      <c r="M29" s="132"/>
      <c r="N29" s="132">
        <f t="shared" si="4"/>
        <v>0</v>
      </c>
      <c r="O29" s="139"/>
      <c r="P29" s="138"/>
    </row>
    <row r="30" spans="1:16" ht="33" x14ac:dyDescent="0.25">
      <c r="A30" s="32">
        <v>1</v>
      </c>
      <c r="B30" s="102" t="str">
        <f>'PTLL (2)'!B24</f>
        <v>Dây điện CVV 2x2.5</v>
      </c>
      <c r="C30" s="34"/>
      <c r="D30" s="32" t="str">
        <f>VLOOKUP(B30,'PTLL (2)'!$B$5:$J$42,2,0)</f>
        <v xml:space="preserve">Mét </v>
      </c>
      <c r="E30" s="33">
        <v>150</v>
      </c>
      <c r="F30" s="33">
        <f>VLOOKUP(B30,'PTLL (2)'!$B$5:$J$42,8,0)</f>
        <v>21800</v>
      </c>
      <c r="G30" s="33">
        <f>E30*F30</f>
        <v>3270000</v>
      </c>
      <c r="H30" s="17"/>
      <c r="I30" s="132">
        <f t="shared" si="5"/>
        <v>24416.000000000004</v>
      </c>
      <c r="J30" s="132">
        <f t="shared" si="2"/>
        <v>3662400.0000000005</v>
      </c>
      <c r="K30" s="132">
        <v>23000</v>
      </c>
      <c r="L30" s="132">
        <f>K30*200</f>
        <v>4600000</v>
      </c>
      <c r="M30" s="132">
        <f t="shared" si="6"/>
        <v>25069.999999999996</v>
      </c>
      <c r="N30" s="132">
        <f t="shared" si="4"/>
        <v>3760499.9999999995</v>
      </c>
      <c r="O30" s="139">
        <v>23500</v>
      </c>
      <c r="P30" s="139">
        <f>O30*200</f>
        <v>4700000</v>
      </c>
    </row>
    <row r="31" spans="1:16" ht="33" x14ac:dyDescent="0.25">
      <c r="A31" s="105">
        <v>2</v>
      </c>
      <c r="B31" s="119" t="str">
        <f>'PTLL (2)'!B25</f>
        <v>Thanh nguồn PDU đa năng 6 ổ cắm 3 chấu chuẩn 19"</v>
      </c>
      <c r="C31" s="120"/>
      <c r="D31" s="106" t="str">
        <f>VLOOKUP(B31,'PTLL (2)'!$B$5:$J$42,2,0)</f>
        <v>Cái</v>
      </c>
      <c r="E31" s="107">
        <f>VLOOKUP(B31,'PTLL (2)'!$B$5:$J$42,3,0)</f>
        <v>3</v>
      </c>
      <c r="F31" s="107">
        <f>VLOOKUP(B31,'PTLL (2)'!$B$5:$J$42,8,0)</f>
        <v>1030000</v>
      </c>
      <c r="G31" s="107">
        <f>E31*F31</f>
        <v>3090000</v>
      </c>
      <c r="H31" s="121"/>
      <c r="I31" s="132">
        <f t="shared" si="5"/>
        <v>1153600.0000000002</v>
      </c>
      <c r="J31" s="132">
        <f t="shared" si="2"/>
        <v>3460800.0000000009</v>
      </c>
      <c r="K31" s="132">
        <v>1080000</v>
      </c>
      <c r="L31" s="132">
        <f t="shared" si="7"/>
        <v>3240000</v>
      </c>
      <c r="M31" s="132">
        <f t="shared" si="6"/>
        <v>1184499.9999999998</v>
      </c>
      <c r="N31" s="132">
        <f t="shared" si="4"/>
        <v>3553499.9999999991</v>
      </c>
      <c r="O31" s="139">
        <v>1320000</v>
      </c>
      <c r="P31" s="139">
        <f>O31*E31</f>
        <v>3960000</v>
      </c>
    </row>
    <row r="32" spans="1:16" ht="33" x14ac:dyDescent="0.25">
      <c r="A32" s="27" t="s">
        <v>105</v>
      </c>
      <c r="B32" s="49"/>
      <c r="C32" s="50"/>
      <c r="D32" s="49"/>
      <c r="E32" s="51"/>
      <c r="F32" s="52"/>
      <c r="G32" s="53">
        <f>SUBTOTAL(9,G33:G35)</f>
        <v>27285000</v>
      </c>
      <c r="H32" s="54"/>
      <c r="I32" s="132"/>
      <c r="J32" s="132">
        <f t="shared" si="2"/>
        <v>0</v>
      </c>
      <c r="K32" s="132"/>
      <c r="L32" s="130"/>
      <c r="M32" s="132"/>
      <c r="N32" s="132">
        <f t="shared" si="4"/>
        <v>0</v>
      </c>
      <c r="O32" s="139"/>
      <c r="P32" s="138"/>
    </row>
    <row r="33" spans="1:16" ht="33" x14ac:dyDescent="0.25">
      <c r="A33" s="32">
        <v>1</v>
      </c>
      <c r="B33" s="102" t="str">
        <f>'PTLL (2)'!B27</f>
        <v>Nguồn lưu điện 2KVA  UPS</v>
      </c>
      <c r="C33" s="122"/>
      <c r="D33" s="32" t="str">
        <f>VLOOKUP(B33,'PTLL (2)'!$B$5:$J$42,2,0)</f>
        <v xml:space="preserve">Bộ </v>
      </c>
      <c r="E33" s="33">
        <f>VLOOKUP(B33,'PTLL (2)'!$B$5:$J$42,3,0)</f>
        <v>2</v>
      </c>
      <c r="F33" s="33">
        <f>VLOOKUP(B33,'PTLL (2)'!$B$5:$J$42,8,0)</f>
        <v>6478000</v>
      </c>
      <c r="G33" s="33">
        <f>E33*F33</f>
        <v>12956000</v>
      </c>
      <c r="H33" s="122"/>
      <c r="I33" s="132">
        <f t="shared" si="5"/>
        <v>7255360.0000000009</v>
      </c>
      <c r="J33" s="132">
        <f t="shared" si="2"/>
        <v>14510720.000000002</v>
      </c>
      <c r="K33" s="132">
        <v>6980000</v>
      </c>
      <c r="L33" s="132">
        <f t="shared" si="7"/>
        <v>13960000</v>
      </c>
      <c r="M33" s="132">
        <f t="shared" si="6"/>
        <v>7449699.9999999991</v>
      </c>
      <c r="N33" s="132">
        <f t="shared" si="4"/>
        <v>14899399.999999998</v>
      </c>
      <c r="O33" s="139">
        <v>6980000</v>
      </c>
      <c r="P33" s="139">
        <f t="shared" ref="P33:P35" si="10">O33*E33</f>
        <v>13960000</v>
      </c>
    </row>
    <row r="34" spans="1:16" ht="33" x14ac:dyDescent="0.25">
      <c r="A34" s="35">
        <v>2</v>
      </c>
      <c r="B34" s="112" t="str">
        <f>'PTLL (2)'!B28</f>
        <v>Nguồn lưu điện 1K2VA UPS</v>
      </c>
      <c r="C34" s="39"/>
      <c r="D34" s="35" t="str">
        <f>VLOOKUP(B34,'PTLL (2)'!$B$5:$J$42,2,0)</f>
        <v xml:space="preserve">Bộ </v>
      </c>
      <c r="E34" s="104">
        <f>VLOOKUP(B34,'PTLL (2)'!$B$5:$J$42,3,0)</f>
        <v>2</v>
      </c>
      <c r="F34" s="104">
        <f>VLOOKUP(B34,'PTLL (2)'!$B$5:$J$42,8,0)</f>
        <v>2707000</v>
      </c>
      <c r="G34" s="104">
        <f>E34*F34</f>
        <v>5414000</v>
      </c>
      <c r="H34" s="39"/>
      <c r="I34" s="132">
        <f t="shared" si="5"/>
        <v>3031840.0000000005</v>
      </c>
      <c r="J34" s="132">
        <f t="shared" si="2"/>
        <v>6063680.0000000009</v>
      </c>
      <c r="K34" s="132">
        <v>3020000</v>
      </c>
      <c r="L34" s="132">
        <f t="shared" si="7"/>
        <v>6040000</v>
      </c>
      <c r="M34" s="132">
        <f t="shared" si="6"/>
        <v>3113049.9999999995</v>
      </c>
      <c r="N34" s="132">
        <f t="shared" si="4"/>
        <v>6226099.9999999991</v>
      </c>
      <c r="O34" s="139">
        <v>3020000</v>
      </c>
      <c r="P34" s="139">
        <f t="shared" si="10"/>
        <v>6040000</v>
      </c>
    </row>
    <row r="35" spans="1:16" ht="33" x14ac:dyDescent="0.25">
      <c r="A35" s="106">
        <v>3</v>
      </c>
      <c r="B35" s="119" t="str">
        <f>'PTLL (2)'!B29</f>
        <v xml:space="preserve">Nguồn lưu điện 3KVA UPS </v>
      </c>
      <c r="C35" s="120"/>
      <c r="D35" s="106" t="str">
        <f>VLOOKUP(B35,'PTLL (2)'!$B$5:$J$42,2,0)</f>
        <v xml:space="preserve">Bộ </v>
      </c>
      <c r="E35" s="107">
        <f>VLOOKUP(B35,'PTLL (2)'!$B$5:$J$42,3,0)</f>
        <v>1</v>
      </c>
      <c r="F35" s="107">
        <f>VLOOKUP(B35,'PTLL (2)'!$B$5:$J$42,8,0)</f>
        <v>8915000</v>
      </c>
      <c r="G35" s="107">
        <f>E35*F35</f>
        <v>8915000</v>
      </c>
      <c r="H35" s="108"/>
      <c r="I35" s="132">
        <f t="shared" si="5"/>
        <v>9984800.0000000019</v>
      </c>
      <c r="J35" s="132">
        <f t="shared" si="2"/>
        <v>9984800.0000000019</v>
      </c>
      <c r="K35" s="132">
        <v>9640000</v>
      </c>
      <c r="L35" s="132">
        <f t="shared" si="7"/>
        <v>9640000</v>
      </c>
      <c r="M35" s="132">
        <f t="shared" si="6"/>
        <v>10252250</v>
      </c>
      <c r="N35" s="132">
        <f t="shared" si="4"/>
        <v>10252250</v>
      </c>
      <c r="O35" s="139">
        <v>9640000</v>
      </c>
      <c r="P35" s="139">
        <f t="shared" si="10"/>
        <v>9640000</v>
      </c>
    </row>
    <row r="36" spans="1:16" ht="33" x14ac:dyDescent="0.25">
      <c r="A36" s="27" t="s">
        <v>88</v>
      </c>
      <c r="B36" s="49"/>
      <c r="C36" s="50"/>
      <c r="D36" s="49"/>
      <c r="E36" s="51"/>
      <c r="F36" s="52"/>
      <c r="G36" s="53">
        <f>SUBTOTAL(9,G37)</f>
        <v>32896000</v>
      </c>
      <c r="H36" s="54"/>
      <c r="I36" s="132"/>
      <c r="J36" s="132">
        <f t="shared" si="2"/>
        <v>0</v>
      </c>
      <c r="K36" s="132"/>
      <c r="L36" s="130"/>
      <c r="M36" s="132"/>
      <c r="N36" s="132">
        <f t="shared" si="4"/>
        <v>0</v>
      </c>
      <c r="O36" s="139"/>
      <c r="P36" s="138"/>
    </row>
    <row r="37" spans="1:16" ht="33" x14ac:dyDescent="0.25">
      <c r="A37" s="56">
        <v>1</v>
      </c>
      <c r="B37" s="57" t="str">
        <f>'[16]ptll 61 cam'!B29</f>
        <v>Vật tư phụ</v>
      </c>
      <c r="C37" s="58" t="s">
        <v>106</v>
      </c>
      <c r="D37" s="43" t="str">
        <f>VLOOKUP(B37,'[16]ptll 61 cam'!$B$6:$K$35,4,0)</f>
        <v>Gói</v>
      </c>
      <c r="E37" s="44">
        <f>VLOOKUP(B37,'[16]ptll 61 cam'!$B$6:$K$35,5,0)</f>
        <v>1</v>
      </c>
      <c r="F37" s="59">
        <f>'PTLL (2)'!J30</f>
        <v>32896000</v>
      </c>
      <c r="G37" s="59">
        <f>E37*F37</f>
        <v>32896000</v>
      </c>
      <c r="H37" s="60"/>
      <c r="I37" s="132">
        <f t="shared" si="5"/>
        <v>36843520</v>
      </c>
      <c r="J37" s="132">
        <f t="shared" si="2"/>
        <v>36843520</v>
      </c>
      <c r="K37" s="132">
        <v>36700000</v>
      </c>
      <c r="L37" s="132">
        <f t="shared" si="7"/>
        <v>36700000</v>
      </c>
      <c r="M37" s="132">
        <f t="shared" si="6"/>
        <v>37830400</v>
      </c>
      <c r="N37" s="132">
        <f t="shared" si="4"/>
        <v>37830400</v>
      </c>
      <c r="O37" s="139">
        <v>37500000</v>
      </c>
      <c r="P37" s="139">
        <f>O37*E37</f>
        <v>37500000</v>
      </c>
    </row>
    <row r="38" spans="1:16" ht="33" x14ac:dyDescent="0.25">
      <c r="A38" s="501" t="s">
        <v>107</v>
      </c>
      <c r="B38" s="502"/>
      <c r="C38" s="502"/>
      <c r="D38" s="502"/>
      <c r="E38" s="502"/>
      <c r="F38" s="502"/>
      <c r="G38" s="53">
        <f>SUBTOTAL(9,G39)</f>
        <v>99840000</v>
      </c>
      <c r="H38" s="54"/>
      <c r="I38" s="132"/>
      <c r="J38" s="132">
        <f t="shared" si="2"/>
        <v>0</v>
      </c>
      <c r="K38" s="132"/>
      <c r="L38" s="130"/>
      <c r="M38" s="132"/>
      <c r="N38" s="132">
        <f t="shared" si="4"/>
        <v>0</v>
      </c>
      <c r="O38" s="139"/>
      <c r="P38" s="138"/>
    </row>
    <row r="39" spans="1:16" ht="33" x14ac:dyDescent="0.25">
      <c r="A39" s="61">
        <v>1</v>
      </c>
      <c r="B39" s="62" t="s">
        <v>108</v>
      </c>
      <c r="C39" s="63" t="s">
        <v>109</v>
      </c>
      <c r="D39" s="61" t="s">
        <v>6</v>
      </c>
      <c r="E39" s="64">
        <v>1</v>
      </c>
      <c r="F39" s="65">
        <f>'PTLL (2)'!J36</f>
        <v>99840000</v>
      </c>
      <c r="G39" s="66">
        <f>F39*E39</f>
        <v>99840000</v>
      </c>
      <c r="H39" s="67"/>
      <c r="I39" s="132">
        <f t="shared" si="5"/>
        <v>111820800.00000001</v>
      </c>
      <c r="J39" s="132">
        <f t="shared" si="2"/>
        <v>111820800.00000001</v>
      </c>
      <c r="K39" s="132">
        <v>112000000</v>
      </c>
      <c r="L39" s="132">
        <f t="shared" si="7"/>
        <v>112000000</v>
      </c>
      <c r="M39" s="132">
        <f t="shared" si="6"/>
        <v>114815999.99999999</v>
      </c>
      <c r="N39" s="132">
        <f t="shared" si="4"/>
        <v>114815999.99999999</v>
      </c>
      <c r="O39" s="139">
        <v>115800000</v>
      </c>
      <c r="P39" s="139">
        <f>O39*E39</f>
        <v>115800000</v>
      </c>
    </row>
    <row r="40" spans="1:16" ht="33" x14ac:dyDescent="0.4">
      <c r="A40" s="768" t="s">
        <v>110</v>
      </c>
      <c r="B40" s="768"/>
      <c r="C40" s="768"/>
      <c r="D40" s="768"/>
      <c r="E40" s="768"/>
      <c r="F40" s="768"/>
      <c r="G40" s="25">
        <f>SUBTOTAL(9,G9:G39)</f>
        <v>486208000</v>
      </c>
      <c r="H40" s="25"/>
      <c r="I40" s="133"/>
      <c r="J40" s="25">
        <f>SUBTOTAL(9,J10:J39)</f>
        <v>544552960</v>
      </c>
      <c r="K40" s="133"/>
      <c r="L40" s="25">
        <f>SUBTOTAL(9,L10:L39)</f>
        <v>546818000</v>
      </c>
      <c r="M40" s="128"/>
      <c r="N40" s="25">
        <f>SUBTOTAL(9,N10:N39)</f>
        <v>559139200</v>
      </c>
      <c r="O40" s="140"/>
      <c r="P40" s="141">
        <f>SUBTOTAL(9,P10:P39)</f>
        <v>554047000</v>
      </c>
    </row>
    <row r="41" spans="1:16" ht="33" x14ac:dyDescent="0.4">
      <c r="A41" s="768" t="s">
        <v>8</v>
      </c>
      <c r="B41" s="768"/>
      <c r="C41" s="768"/>
      <c r="D41" s="768"/>
      <c r="E41" s="768"/>
      <c r="F41" s="768"/>
      <c r="G41" s="25">
        <f>G40*0.1</f>
        <v>48620800</v>
      </c>
      <c r="H41" s="25"/>
    </row>
    <row r="42" spans="1:16" ht="33" x14ac:dyDescent="0.4">
      <c r="A42" s="768" t="s">
        <v>111</v>
      </c>
      <c r="B42" s="768"/>
      <c r="C42" s="768"/>
      <c r="D42" s="768"/>
      <c r="E42" s="768"/>
      <c r="F42" s="768"/>
      <c r="G42" s="25">
        <f>G40+G41</f>
        <v>534828800</v>
      </c>
      <c r="H42" s="25"/>
    </row>
    <row r="43" spans="1:16" ht="35.25" x14ac:dyDescent="0.4">
      <c r="A43" s="68"/>
      <c r="B43" s="69" t="s">
        <v>9</v>
      </c>
      <c r="C43" s="69"/>
      <c r="D43" s="70"/>
      <c r="E43" s="71"/>
      <c r="F43" s="72"/>
      <c r="G43" s="71"/>
      <c r="H43" s="73"/>
    </row>
    <row r="44" spans="1:16" ht="35.25" x14ac:dyDescent="0.4">
      <c r="A44" s="74"/>
      <c r="B44" s="75" t="s">
        <v>112</v>
      </c>
      <c r="C44" s="75"/>
      <c r="D44" s="76"/>
      <c r="E44" s="77"/>
      <c r="F44" s="78"/>
      <c r="G44" s="77"/>
      <c r="H44" s="79"/>
      <c r="J44" s="127">
        <f>L40-G40</f>
        <v>60610000</v>
      </c>
      <c r="N44" s="144" t="s">
        <v>53</v>
      </c>
    </row>
    <row r="45" spans="1:16" ht="35.25" x14ac:dyDescent="0.4">
      <c r="A45" s="74"/>
      <c r="B45" s="791" t="s">
        <v>10</v>
      </c>
      <c r="C45" s="791"/>
      <c r="D45" s="791"/>
      <c r="E45" s="791"/>
      <c r="F45" s="791"/>
      <c r="G45" s="791"/>
      <c r="H45" s="792"/>
      <c r="J45" s="126">
        <f>J44/G40</f>
        <v>0.12465858233513229</v>
      </c>
      <c r="N45" s="143">
        <f>P40/G40-1</f>
        <v>0.13952670462024486</v>
      </c>
    </row>
    <row r="46" spans="1:16" ht="35.25" x14ac:dyDescent="0.4">
      <c r="A46" s="74"/>
      <c r="B46" s="80" t="s">
        <v>11</v>
      </c>
      <c r="C46" s="80"/>
      <c r="D46" s="76"/>
      <c r="E46" s="77"/>
      <c r="F46" s="78"/>
      <c r="G46" s="77"/>
      <c r="H46" s="79"/>
    </row>
    <row r="47" spans="1:16" ht="35.25" x14ac:dyDescent="0.4">
      <c r="A47" s="74"/>
      <c r="B47" s="81" t="s">
        <v>12</v>
      </c>
      <c r="C47" s="81"/>
      <c r="D47" s="76"/>
      <c r="E47" s="77"/>
      <c r="F47" s="78"/>
      <c r="G47" s="77"/>
      <c r="H47" s="79"/>
    </row>
    <row r="48" spans="1:16" ht="35.25" x14ac:dyDescent="0.4">
      <c r="A48" s="74"/>
      <c r="B48" s="81" t="s">
        <v>13</v>
      </c>
      <c r="C48" s="81"/>
      <c r="D48" s="76"/>
      <c r="E48" s="77"/>
      <c r="F48" s="78"/>
      <c r="G48" s="77"/>
      <c r="H48" s="79"/>
    </row>
    <row r="49" spans="1:8" ht="35.25" x14ac:dyDescent="0.4">
      <c r="A49" s="74"/>
      <c r="B49" s="80" t="s">
        <v>14</v>
      </c>
      <c r="C49" s="80"/>
      <c r="D49" s="76"/>
      <c r="E49" s="77"/>
      <c r="F49" s="78"/>
      <c r="G49" s="77"/>
      <c r="H49" s="79"/>
    </row>
    <row r="50" spans="1:8" ht="35.25" x14ac:dyDescent="0.4">
      <c r="A50" s="74"/>
      <c r="B50" s="81" t="s">
        <v>15</v>
      </c>
      <c r="C50" s="81"/>
      <c r="D50" s="76"/>
      <c r="E50" s="77"/>
      <c r="F50" s="78"/>
      <c r="G50" s="77"/>
      <c r="H50" s="79"/>
    </row>
    <row r="51" spans="1:8" ht="35.25" x14ac:dyDescent="0.4">
      <c r="A51" s="74"/>
      <c r="B51" s="81" t="s">
        <v>16</v>
      </c>
      <c r="C51" s="81"/>
      <c r="D51" s="76"/>
      <c r="E51" s="77"/>
      <c r="F51" s="78"/>
      <c r="G51" s="77"/>
      <c r="H51" s="79"/>
    </row>
    <row r="52" spans="1:8" ht="35.25" x14ac:dyDescent="0.4">
      <c r="A52" s="74"/>
      <c r="B52" s="76" t="s">
        <v>17</v>
      </c>
      <c r="C52" s="81"/>
      <c r="D52" s="76"/>
      <c r="E52" s="77"/>
      <c r="F52" s="78"/>
      <c r="G52" s="77"/>
      <c r="H52" s="79"/>
    </row>
    <row r="53" spans="1:8" ht="35.25" x14ac:dyDescent="0.4">
      <c r="A53" s="74"/>
      <c r="B53" s="80" t="s">
        <v>113</v>
      </c>
      <c r="C53" s="80"/>
      <c r="D53" s="76"/>
      <c r="E53" s="77"/>
      <c r="F53" s="78"/>
      <c r="G53" s="77"/>
      <c r="H53" s="79"/>
    </row>
    <row r="54" spans="1:8" ht="35.25" x14ac:dyDescent="0.4">
      <c r="A54" s="74"/>
      <c r="B54" s="82" t="s">
        <v>18</v>
      </c>
      <c r="C54" s="82"/>
      <c r="D54" s="76"/>
      <c r="E54" s="77"/>
      <c r="F54" s="78"/>
      <c r="G54" s="77"/>
      <c r="H54" s="79"/>
    </row>
    <row r="55" spans="1:8" ht="36" thickBot="1" x14ac:dyDescent="0.45">
      <c r="A55" s="83"/>
      <c r="B55" s="84" t="s">
        <v>114</v>
      </c>
      <c r="C55" s="84"/>
      <c r="D55" s="85"/>
      <c r="E55" s="86"/>
      <c r="F55" s="87"/>
      <c r="G55" s="86"/>
      <c r="H55" s="88"/>
    </row>
    <row r="56" spans="1:8" ht="36" thickTop="1" x14ac:dyDescent="0.4">
      <c r="A56" s="793" t="s">
        <v>164</v>
      </c>
      <c r="B56" s="793"/>
      <c r="C56" s="793"/>
      <c r="D56" s="89"/>
      <c r="E56" s="90"/>
      <c r="F56" s="794" t="s">
        <v>161</v>
      </c>
      <c r="G56" s="794"/>
      <c r="H56" s="794"/>
    </row>
    <row r="57" spans="1:8" ht="35.25" x14ac:dyDescent="0.4">
      <c r="A57" s="91"/>
      <c r="B57" s="92" t="s">
        <v>163</v>
      </c>
      <c r="C57" s="93"/>
      <c r="D57" s="94"/>
      <c r="E57" s="95"/>
      <c r="F57" s="751" t="s">
        <v>162</v>
      </c>
      <c r="G57" s="751"/>
      <c r="H57" s="751"/>
    </row>
    <row r="58" spans="1:8" ht="31.5" x14ac:dyDescent="0.4">
      <c r="A58" s="96"/>
      <c r="B58" s="97"/>
      <c r="C58" s="98"/>
      <c r="D58" s="96"/>
      <c r="E58" s="96"/>
      <c r="F58" s="99"/>
      <c r="G58" s="99"/>
      <c r="H58" s="96"/>
    </row>
  </sheetData>
  <autoFilter ref="A9:P57"/>
  <mergeCells count="24">
    <mergeCell ref="B28:C28"/>
    <mergeCell ref="F57:H57"/>
    <mergeCell ref="A40:F40"/>
    <mergeCell ref="A41:F41"/>
    <mergeCell ref="A42:F42"/>
    <mergeCell ref="B45:H45"/>
    <mergeCell ref="A56:C56"/>
    <mergeCell ref="F56:H56"/>
    <mergeCell ref="B23:C23"/>
    <mergeCell ref="B24:C24"/>
    <mergeCell ref="B25:C25"/>
    <mergeCell ref="B26:C26"/>
    <mergeCell ref="B27:C27"/>
    <mergeCell ref="A5:C5"/>
    <mergeCell ref="D5:H5"/>
    <mergeCell ref="D6:H6"/>
    <mergeCell ref="B18:C18"/>
    <mergeCell ref="B22:C22"/>
    <mergeCell ref="D4:H4"/>
    <mergeCell ref="A1:C1"/>
    <mergeCell ref="D1:H1"/>
    <mergeCell ref="A2:C3"/>
    <mergeCell ref="D2:H2"/>
    <mergeCell ref="D3:H3"/>
  </mergeCells>
  <hyperlinks>
    <hyperlink ref="D4" r:id="rId1"/>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view="pageBreakPreview" zoomScale="55" zoomScaleNormal="70" zoomScaleSheetLayoutView="55" workbookViewId="0">
      <selection activeCell="D10" sqref="D10:E10"/>
    </sheetView>
  </sheetViews>
  <sheetFormatPr defaultColWidth="9.140625" defaultRowHeight="17.25" x14ac:dyDescent="0.3"/>
  <cols>
    <col min="1" max="1" width="6" style="11" customWidth="1"/>
    <col min="2" max="2" width="69" style="11" hidden="1" customWidth="1"/>
    <col min="3" max="3" width="55" style="11" customWidth="1"/>
    <col min="4" max="4" width="9.140625" style="146" customWidth="1"/>
    <col min="5" max="5" width="9" style="11" bestFit="1" customWidth="1"/>
    <col min="6" max="6" width="9.5703125" style="11" customWidth="1"/>
    <col min="7" max="7" width="15.85546875" style="11" bestFit="1" customWidth="1"/>
    <col min="8" max="8" width="16.42578125" style="11" bestFit="1" customWidth="1"/>
    <col min="9" max="9" width="12.7109375" style="11" bestFit="1" customWidth="1"/>
    <col min="10" max="16384" width="9.140625" style="11"/>
  </cols>
  <sheetData>
    <row r="1" spans="1:9" ht="90.75" customHeight="1" x14ac:dyDescent="0.3">
      <c r="A1" s="801"/>
      <c r="B1" s="801"/>
      <c r="C1" s="801"/>
      <c r="D1" s="801"/>
      <c r="E1" s="801"/>
      <c r="F1" s="801"/>
      <c r="G1" s="801"/>
      <c r="H1" s="801"/>
      <c r="I1" s="801"/>
    </row>
    <row r="2" spans="1:9" ht="27" x14ac:dyDescent="0.3">
      <c r="A2" s="802" t="s">
        <v>230</v>
      </c>
      <c r="B2" s="802"/>
      <c r="C2" s="802"/>
      <c r="D2" s="802"/>
      <c r="E2" s="802"/>
      <c r="F2" s="802"/>
      <c r="G2" s="802"/>
      <c r="H2" s="802"/>
      <c r="I2" s="802"/>
    </row>
    <row r="3" spans="1:9" ht="24" customHeight="1" x14ac:dyDescent="0.3">
      <c r="A3" s="565" t="s">
        <v>254</v>
      </c>
      <c r="B3" s="565"/>
      <c r="C3" s="565"/>
      <c r="D3" s="566"/>
      <c r="E3" s="567"/>
      <c r="F3" s="567"/>
      <c r="G3" s="567"/>
      <c r="H3" s="567"/>
      <c r="I3" s="567"/>
    </row>
    <row r="4" spans="1:9" ht="24" customHeight="1" x14ac:dyDescent="0.3">
      <c r="A4" s="568" t="s">
        <v>251</v>
      </c>
      <c r="B4" s="569"/>
      <c r="C4" s="569"/>
      <c r="D4" s="570"/>
      <c r="E4" s="567"/>
      <c r="F4" s="567"/>
      <c r="G4" s="567"/>
      <c r="H4" s="567"/>
      <c r="I4" s="567"/>
    </row>
    <row r="5" spans="1:9" ht="24" customHeight="1" x14ac:dyDescent="0.3">
      <c r="A5" s="571" t="s">
        <v>252</v>
      </c>
      <c r="B5" s="571"/>
      <c r="C5" s="571"/>
      <c r="D5" s="572"/>
      <c r="E5" s="573"/>
      <c r="F5" s="573"/>
      <c r="G5" s="573"/>
      <c r="H5" s="573"/>
      <c r="I5" s="573"/>
    </row>
    <row r="6" spans="1:9" x14ac:dyDescent="0.3">
      <c r="A6" s="574"/>
      <c r="B6" s="574"/>
      <c r="C6" s="574"/>
      <c r="D6" s="564"/>
      <c r="E6" s="574"/>
      <c r="F6" s="575"/>
      <c r="G6" s="576"/>
      <c r="H6" s="576"/>
      <c r="I6" s="564"/>
    </row>
    <row r="7" spans="1:9" ht="41.25" customHeight="1" x14ac:dyDescent="0.3">
      <c r="A7" s="503" t="s">
        <v>1</v>
      </c>
      <c r="B7" s="504" t="s">
        <v>96</v>
      </c>
      <c r="C7" s="504" t="s">
        <v>97</v>
      </c>
      <c r="D7" s="504" t="s">
        <v>231</v>
      </c>
      <c r="E7" s="504" t="s">
        <v>98</v>
      </c>
      <c r="F7" s="504" t="s">
        <v>99</v>
      </c>
      <c r="G7" s="505" t="s">
        <v>100</v>
      </c>
      <c r="H7" s="505" t="s">
        <v>2</v>
      </c>
      <c r="I7" s="505" t="s">
        <v>101</v>
      </c>
    </row>
    <row r="8" spans="1:9" ht="23.25" customHeight="1" x14ac:dyDescent="0.3">
      <c r="A8" s="506" t="s">
        <v>242</v>
      </c>
      <c r="B8" s="507"/>
      <c r="C8" s="507"/>
      <c r="D8" s="508"/>
      <c r="E8" s="507"/>
      <c r="F8" s="507"/>
      <c r="G8" s="507"/>
      <c r="H8" s="509">
        <f>SUBTOTAL(9,H9:H16)</f>
        <v>267432000</v>
      </c>
      <c r="I8" s="510"/>
    </row>
    <row r="9" spans="1:9" ht="113.25" customHeight="1" x14ac:dyDescent="0.3">
      <c r="A9" s="511">
        <f>_xlfn.AGGREGATE(3,3,$B$9:B9)</f>
        <v>1</v>
      </c>
      <c r="B9" s="512" t="str">
        <f>'PTLL (2)'!B5</f>
        <v>Camera IP Dome 2MP HIKVISION
DS-2CD1121G0-I</v>
      </c>
      <c r="C9" s="513" t="s">
        <v>233</v>
      </c>
      <c r="D9" s="514" t="s">
        <v>232</v>
      </c>
      <c r="E9" s="511" t="str">
        <f>VLOOKUP(B9,'PTLL (2)'!$B$5:$J$42,2,0)</f>
        <v>Cái</v>
      </c>
      <c r="F9" s="515">
        <f>VLOOKUP(B9,'PTLL (2)'!$B$5:$J$42,3,0)</f>
        <v>113</v>
      </c>
      <c r="G9" s="515">
        <f>VLOOKUP(B9,bgct!$B$10:$O$39,14,0)</f>
        <v>805000</v>
      </c>
      <c r="H9" s="515">
        <f>F9*G9</f>
        <v>90965000</v>
      </c>
      <c r="I9" s="516"/>
    </row>
    <row r="10" spans="1:9" ht="109.5" customHeight="1" x14ac:dyDescent="0.3">
      <c r="A10" s="517">
        <f>_xlfn.AGGREGATE(3,3,$B$9:B10)</f>
        <v>2</v>
      </c>
      <c r="B10" s="518" t="str">
        <f>'PTLL (2)'!B6</f>
        <v>Camera IP thân 2MP HIKVISION 
DS-2CD1021G0-I</v>
      </c>
      <c r="C10" s="519" t="s">
        <v>243</v>
      </c>
      <c r="D10" s="520" t="s">
        <v>232</v>
      </c>
      <c r="E10" s="517" t="str">
        <f>VLOOKUP(B10,'PTLL (2)'!$B$5:$J$42,2,0)</f>
        <v>Cái</v>
      </c>
      <c r="F10" s="521">
        <f>VLOOKUP(B10,'PTLL (2)'!$B$5:$J$42,3,0)</f>
        <v>14</v>
      </c>
      <c r="G10" s="521">
        <f>VLOOKUP(B10,bgct!$B$10:$O$39,14,0)</f>
        <v>805000</v>
      </c>
      <c r="H10" s="521">
        <f t="shared" ref="H10:H24" si="0">F10*G10</f>
        <v>11270000</v>
      </c>
      <c r="I10" s="522"/>
    </row>
    <row r="11" spans="1:9" ht="108" customHeight="1" x14ac:dyDescent="0.3">
      <c r="A11" s="517">
        <f>_xlfn.AGGREGATE(3,3,$B$9:B11)</f>
        <v>3</v>
      </c>
      <c r="B11" s="518" t="str">
        <f>'PTLL (2)'!B7</f>
        <v>Đầu ghi hình camera IP 32 kênh HIKVISION DS-7732NXI-K4</v>
      </c>
      <c r="C11" s="519" t="s">
        <v>244</v>
      </c>
      <c r="D11" s="520" t="s">
        <v>237</v>
      </c>
      <c r="E11" s="517" t="str">
        <f>VLOOKUP(B11,'PTLL (2)'!$B$5:$J$42,2,0)</f>
        <v>Cái</v>
      </c>
      <c r="F11" s="521">
        <f>VLOOKUP(B11,'PTLL (2)'!$B$5:$J$42,3,0)</f>
        <v>4</v>
      </c>
      <c r="G11" s="521">
        <f>VLOOKUP(B11,bgct!$B$10:$O$39,14,0)</f>
        <v>8950000</v>
      </c>
      <c r="H11" s="521">
        <f t="shared" si="0"/>
        <v>35800000</v>
      </c>
      <c r="I11" s="517"/>
    </row>
    <row r="12" spans="1:9" ht="84" customHeight="1" x14ac:dyDescent="0.3">
      <c r="A12" s="517">
        <f>_xlfn.AGGREGATE(3,3,$B$9:B12)</f>
        <v>4</v>
      </c>
      <c r="B12" s="518" t="str">
        <f>'PTLL (2)'!B8</f>
        <v>Ổ Cứng 8T WESTERN</v>
      </c>
      <c r="C12" s="519" t="s">
        <v>250</v>
      </c>
      <c r="D12" s="520" t="s">
        <v>238</v>
      </c>
      <c r="E12" s="517" t="str">
        <f>VLOOKUP(B12,'PTLL (2)'!$B$5:$J$42,2,0)</f>
        <v>Cái</v>
      </c>
      <c r="F12" s="521">
        <f>VLOOKUP(B12,'PTLL (2)'!$B$5:$J$42,3,0)</f>
        <v>8</v>
      </c>
      <c r="G12" s="521">
        <f>VLOOKUP(B12,bgct!$B$10:$O$39,14,0)</f>
        <v>5980000</v>
      </c>
      <c r="H12" s="521">
        <f t="shared" si="0"/>
        <v>47840000</v>
      </c>
      <c r="I12" s="523"/>
    </row>
    <row r="13" spans="1:9" ht="147.75" customHeight="1" x14ac:dyDescent="0.3">
      <c r="A13" s="517">
        <f>_xlfn.AGGREGATE(3,3,$B$9:B13)</f>
        <v>5</v>
      </c>
      <c r="B13" s="518" t="str">
        <f>'PTLL (2)'!B9</f>
        <v>Switch Hikvision POE 24 cổng DS-3E1326P-EI</v>
      </c>
      <c r="C13" s="519" t="s">
        <v>234</v>
      </c>
      <c r="D13" s="524" t="s">
        <v>239</v>
      </c>
      <c r="E13" s="517" t="str">
        <f>VLOOKUP(B13,'PTLL (2)'!$B$5:$J$42,2,0)</f>
        <v>Cái</v>
      </c>
      <c r="F13" s="521">
        <f>VLOOKUP(B13,'PTLL (2)'!$B$5:$J$42,3,0)</f>
        <v>4</v>
      </c>
      <c r="G13" s="521">
        <f>VLOOKUP(B13,bgct!$B$10:$O$39,14,0)</f>
        <v>4670000</v>
      </c>
      <c r="H13" s="521">
        <f t="shared" si="0"/>
        <v>18680000</v>
      </c>
      <c r="I13" s="517"/>
    </row>
    <row r="14" spans="1:9" ht="100.5" customHeight="1" x14ac:dyDescent="0.3">
      <c r="A14" s="517">
        <f>_xlfn.AGGREGATE(3,3,$B$9:B14)</f>
        <v>6</v>
      </c>
      <c r="B14" s="518" t="str">
        <f>'PTLL (2)'!B10</f>
        <v>Switch Hikvision POE 16 cổng DS-3E1318P-EI</v>
      </c>
      <c r="C14" s="519" t="s">
        <v>235</v>
      </c>
      <c r="D14" s="525" t="s">
        <v>240</v>
      </c>
      <c r="E14" s="517" t="str">
        <f>VLOOKUP(B14,'PTLL (2)'!$B$5:$J$42,2,0)</f>
        <v>Cái</v>
      </c>
      <c r="F14" s="521">
        <f>VLOOKUP(B14,'PTLL (2)'!$B$5:$J$42,3,0)</f>
        <v>4</v>
      </c>
      <c r="G14" s="521">
        <f>VLOOKUP(B14,bgct!$B$10:$O$39,14,0)</f>
        <v>4270000</v>
      </c>
      <c r="H14" s="521">
        <f t="shared" si="0"/>
        <v>17080000</v>
      </c>
      <c r="I14" s="517"/>
    </row>
    <row r="15" spans="1:9" ht="44.25" customHeight="1" x14ac:dyDescent="0.3">
      <c r="A15" s="517">
        <f>_xlfn.AGGREGATE(3,3,$B$9:B15)</f>
        <v>7</v>
      </c>
      <c r="B15" s="518" t="str">
        <f>'PTLL (2)'!B11</f>
        <v>Switch 16 port CISCO CBS110-16T-EU</v>
      </c>
      <c r="C15" s="519" t="s">
        <v>236</v>
      </c>
      <c r="D15" s="524" t="s">
        <v>241</v>
      </c>
      <c r="E15" s="517" t="str">
        <f>VLOOKUP(B15,'PTLL (2)'!$B$5:$J$42,2,0)</f>
        <v>Cái</v>
      </c>
      <c r="F15" s="521">
        <f>VLOOKUP(B15,'PTLL (2)'!$B$5:$J$42,3,0)</f>
        <v>1</v>
      </c>
      <c r="G15" s="521">
        <f>VLOOKUP(B15,bgct!$B$10:$O$39,14,0)</f>
        <v>3997000</v>
      </c>
      <c r="H15" s="521">
        <f t="shared" si="0"/>
        <v>3997000</v>
      </c>
      <c r="I15" s="526"/>
    </row>
    <row r="16" spans="1:9" ht="27.75" customHeight="1" x14ac:dyDescent="0.3">
      <c r="A16" s="527">
        <v>8</v>
      </c>
      <c r="B16" s="528" t="s">
        <v>160</v>
      </c>
      <c r="C16" s="529" t="str">
        <f>B16</f>
        <v>Màn hình quan sát 43 inch SamSung+ khung kệ + HDMI</v>
      </c>
      <c r="D16" s="530"/>
      <c r="E16" s="527" t="s">
        <v>146</v>
      </c>
      <c r="F16" s="531">
        <v>4</v>
      </c>
      <c r="G16" s="531">
        <f>SUM(bgct!O17:O20)</f>
        <v>10450000</v>
      </c>
      <c r="H16" s="531">
        <f t="shared" si="0"/>
        <v>41800000</v>
      </c>
      <c r="I16" s="532"/>
    </row>
    <row r="17" spans="1:9" ht="32.25" customHeight="1" x14ac:dyDescent="0.3">
      <c r="A17" s="533" t="s">
        <v>247</v>
      </c>
      <c r="B17" s="534"/>
      <c r="C17" s="534"/>
      <c r="D17" s="534"/>
      <c r="E17" s="534"/>
      <c r="F17" s="534"/>
      <c r="G17" s="535"/>
      <c r="H17" s="536">
        <f>SUBTOTAL(9,H18:H24)</f>
        <v>99815000</v>
      </c>
      <c r="I17" s="537"/>
    </row>
    <row r="18" spans="1:9" ht="32.25" customHeight="1" x14ac:dyDescent="0.3">
      <c r="A18" s="511">
        <v>1</v>
      </c>
      <c r="B18" s="538" t="str">
        <f>'PTLL (2)'!B16</f>
        <v xml:space="preserve">Cáp quang 4FO </v>
      </c>
      <c r="C18" s="803" t="str">
        <f>B18</f>
        <v xml:space="preserve">Cáp quang 4FO </v>
      </c>
      <c r="D18" s="804"/>
      <c r="E18" s="511" t="str">
        <f>VLOOKUP(B18,'PTLL (2)'!$B$5:$J$42,2,0)</f>
        <v xml:space="preserve">Mét </v>
      </c>
      <c r="F18" s="515">
        <f>VLOOKUP(B18,'PTLL (2)'!$B$5:$J$42,3,0)</f>
        <v>400</v>
      </c>
      <c r="G18" s="515">
        <f>VLOOKUP(B18,bgct!$B$10:$O$39,14,0)</f>
        <v>6000</v>
      </c>
      <c r="H18" s="515">
        <f t="shared" si="0"/>
        <v>2400000</v>
      </c>
      <c r="I18" s="539"/>
    </row>
    <row r="19" spans="1:9" ht="32.25" customHeight="1" x14ac:dyDescent="0.3">
      <c r="A19" s="517">
        <v>2</v>
      </c>
      <c r="B19" s="540" t="str">
        <f>'PTLL (2)'!B17</f>
        <v>Cáp mạng Cat5E</v>
      </c>
      <c r="C19" s="797" t="str">
        <f t="shared" ref="C19:C30" si="1">B19</f>
        <v>Cáp mạng Cat5E</v>
      </c>
      <c r="D19" s="798"/>
      <c r="E19" s="517" t="str">
        <f>VLOOKUP(B19,'PTLL (2)'!$B$5:$J$42,2,0)</f>
        <v xml:space="preserve">Mét </v>
      </c>
      <c r="F19" s="521">
        <f>VLOOKUP(B19,'PTLL (2)'!$B$5:$J$42,3,0)</f>
        <v>7300</v>
      </c>
      <c r="G19" s="521">
        <f>VLOOKUP(B19,bgct!$B$10:$O$39,14,0)</f>
        <v>10500</v>
      </c>
      <c r="H19" s="521">
        <f t="shared" si="0"/>
        <v>76650000</v>
      </c>
      <c r="I19" s="517"/>
    </row>
    <row r="20" spans="1:9" ht="32.25" customHeight="1" x14ac:dyDescent="0.3">
      <c r="A20" s="517">
        <v>3</v>
      </c>
      <c r="B20" s="540" t="str">
        <f>'PTLL (2)'!B18</f>
        <v>Converter A/B 1000M</v>
      </c>
      <c r="C20" s="797" t="str">
        <f t="shared" si="1"/>
        <v>Converter A/B 1000M</v>
      </c>
      <c r="D20" s="798"/>
      <c r="E20" s="517" t="str">
        <f>VLOOKUP(B20,'PTLL (2)'!$B$5:$J$42,2,0)</f>
        <v xml:space="preserve">Bộ </v>
      </c>
      <c r="F20" s="521">
        <f>VLOOKUP(B20,'PTLL (2)'!$B$5:$J$42,3,0)</f>
        <v>4</v>
      </c>
      <c r="G20" s="521">
        <f>VLOOKUP(B20,bgct!$B$10:$O$39,14,0)</f>
        <v>1280000</v>
      </c>
      <c r="H20" s="521">
        <f t="shared" si="0"/>
        <v>5120000</v>
      </c>
      <c r="I20" s="517"/>
    </row>
    <row r="21" spans="1:9" ht="32.25" customHeight="1" x14ac:dyDescent="0.3">
      <c r="A21" s="517">
        <v>4</v>
      </c>
      <c r="B21" s="540" t="str">
        <f>'PTLL (2)'!B19</f>
        <v>Tủ mạng rack 6U</v>
      </c>
      <c r="C21" s="797" t="str">
        <f t="shared" si="1"/>
        <v>Tủ mạng rack 6U</v>
      </c>
      <c r="D21" s="798"/>
      <c r="E21" s="517" t="str">
        <f>VLOOKUP(B21,'PTLL (2)'!$B$5:$J$42,2,0)</f>
        <v>Cái</v>
      </c>
      <c r="F21" s="521">
        <f>VLOOKUP(B21,'PTLL (2)'!$B$5:$J$42,3,0)</f>
        <v>2</v>
      </c>
      <c r="G21" s="521">
        <f>VLOOKUP(B21,bgct!$B$10:$O$39,14,0)</f>
        <v>1200000</v>
      </c>
      <c r="H21" s="521">
        <f t="shared" si="0"/>
        <v>2400000</v>
      </c>
      <c r="I21" s="517"/>
    </row>
    <row r="22" spans="1:9" ht="32.25" customHeight="1" x14ac:dyDescent="0.3">
      <c r="A22" s="517">
        <v>5</v>
      </c>
      <c r="B22" s="540" t="str">
        <f>'PTLL (2)'!B20</f>
        <v>Tủ mạng rack 10U</v>
      </c>
      <c r="C22" s="797" t="str">
        <f t="shared" si="1"/>
        <v>Tủ mạng rack 10U</v>
      </c>
      <c r="D22" s="798"/>
      <c r="E22" s="517" t="str">
        <f>VLOOKUP(B22,'PTLL (2)'!$B$5:$J$42,2,0)</f>
        <v>Cái</v>
      </c>
      <c r="F22" s="521">
        <f>VLOOKUP(B22,'PTLL (2)'!$B$5:$J$42,3,0)</f>
        <v>2</v>
      </c>
      <c r="G22" s="521">
        <f>VLOOKUP(B22,bgct!$B$10:$O$39,14,0)</f>
        <v>1780000</v>
      </c>
      <c r="H22" s="521">
        <f t="shared" si="0"/>
        <v>3560000</v>
      </c>
      <c r="I22" s="517"/>
    </row>
    <row r="23" spans="1:9" ht="32.25" customHeight="1" x14ac:dyDescent="0.3">
      <c r="A23" s="517">
        <v>6</v>
      </c>
      <c r="B23" s="540" t="str">
        <f>'PTLL (2)'!B21</f>
        <v>Tủ mạng rack 42U</v>
      </c>
      <c r="C23" s="797" t="str">
        <f t="shared" si="1"/>
        <v>Tủ mạng rack 42U</v>
      </c>
      <c r="D23" s="798"/>
      <c r="E23" s="517" t="str">
        <f>VLOOKUP(B23,'PTLL (2)'!$B$5:$J$42,2,0)</f>
        <v>Cái</v>
      </c>
      <c r="F23" s="521">
        <f>VLOOKUP(B23,'PTLL (2)'!$B$5:$J$42,3,0)</f>
        <v>1</v>
      </c>
      <c r="G23" s="521">
        <f>VLOOKUP(B23,bgct!$B$10:$O$39,14,0)</f>
        <v>8900000</v>
      </c>
      <c r="H23" s="521">
        <f t="shared" si="0"/>
        <v>8900000</v>
      </c>
      <c r="I23" s="517"/>
    </row>
    <row r="24" spans="1:9" ht="32.25" customHeight="1" x14ac:dyDescent="0.3">
      <c r="A24" s="541">
        <v>7</v>
      </c>
      <c r="B24" s="540" t="str">
        <f>'PTLL (2)'!B22</f>
        <v xml:space="preserve">ODF 12 FO </v>
      </c>
      <c r="C24" s="799" t="str">
        <f t="shared" si="1"/>
        <v xml:space="preserve">ODF 12 FO </v>
      </c>
      <c r="D24" s="799"/>
      <c r="E24" s="517" t="str">
        <f>VLOOKUP(B24,'PTLL (2)'!$B$5:$J$42,2,0)</f>
        <v>Cái</v>
      </c>
      <c r="F24" s="521">
        <f>VLOOKUP(B24,'PTLL (2)'!$B$5:$J$42,3,0)</f>
        <v>1</v>
      </c>
      <c r="G24" s="521">
        <f>VLOOKUP(B24,bgct!$B$10:$O$39,14,0)</f>
        <v>785000</v>
      </c>
      <c r="H24" s="521">
        <f t="shared" si="0"/>
        <v>785000</v>
      </c>
      <c r="I24" s="542"/>
    </row>
    <row r="25" spans="1:9" ht="32.25" customHeight="1" x14ac:dyDescent="0.3">
      <c r="A25" s="517">
        <v>8</v>
      </c>
      <c r="B25" s="543" t="str">
        <f>'PTLL (2)'!B24</f>
        <v>Dây điện CVV 2x2.5</v>
      </c>
      <c r="C25" s="800" t="str">
        <f t="shared" si="1"/>
        <v>Dây điện CVV 2x2.5</v>
      </c>
      <c r="D25" s="798"/>
      <c r="E25" s="517" t="str">
        <f>VLOOKUP(B25,'PTLL (2)'!$B$5:$J$42,2,0)</f>
        <v xml:space="preserve">Mét </v>
      </c>
      <c r="F25" s="521">
        <v>200</v>
      </c>
      <c r="G25" s="521">
        <f>VLOOKUP(B25,bgct!$B$10:$O$39,14,0)</f>
        <v>23500</v>
      </c>
      <c r="H25" s="521">
        <f>F25*G25</f>
        <v>4700000</v>
      </c>
      <c r="I25" s="517"/>
    </row>
    <row r="26" spans="1:9" ht="32.25" customHeight="1" x14ac:dyDescent="0.3">
      <c r="A26" s="527">
        <v>9</v>
      </c>
      <c r="B26" s="528" t="str">
        <f>'PTLL (2)'!B25</f>
        <v>Thanh nguồn PDU đa năng 6 ổ cắm 3 chấu chuẩn 19"</v>
      </c>
      <c r="C26" s="580" t="str">
        <f t="shared" si="1"/>
        <v>Thanh nguồn PDU đa năng 6 ổ cắm 3 chấu chuẩn 19"</v>
      </c>
      <c r="D26" s="544"/>
      <c r="E26" s="527" t="str">
        <f>VLOOKUP(B26,'PTLL (2)'!$B$5:$J$42,2,0)</f>
        <v>Cái</v>
      </c>
      <c r="F26" s="531">
        <f>VLOOKUP(B26,'PTLL (2)'!$B$5:$J$42,3,0)</f>
        <v>3</v>
      </c>
      <c r="G26" s="531">
        <f>VLOOKUP(B26,bgct!$B$10:$O$39,14,0)</f>
        <v>1320000</v>
      </c>
      <c r="H26" s="531">
        <f>F26*G26</f>
        <v>3960000</v>
      </c>
      <c r="I26" s="545"/>
    </row>
    <row r="27" spans="1:9" ht="32.25" customHeight="1" x14ac:dyDescent="0.3">
      <c r="A27" s="506" t="s">
        <v>248</v>
      </c>
      <c r="B27" s="546"/>
      <c r="C27" s="546"/>
      <c r="D27" s="547"/>
      <c r="E27" s="546"/>
      <c r="F27" s="548"/>
      <c r="G27" s="549"/>
      <c r="H27" s="550">
        <f>SUBTOTAL(9,H28:H30)</f>
        <v>29640000</v>
      </c>
      <c r="I27" s="551"/>
    </row>
    <row r="28" spans="1:9" ht="32.25" customHeight="1" x14ac:dyDescent="0.3">
      <c r="A28" s="511">
        <v>1</v>
      </c>
      <c r="B28" s="552" t="str">
        <f>'PTLL (2)'!B27</f>
        <v>Nguồn lưu điện 2KVA  UPS</v>
      </c>
      <c r="C28" s="805" t="str">
        <f t="shared" si="1"/>
        <v>Nguồn lưu điện 2KVA  UPS</v>
      </c>
      <c r="D28" s="806"/>
      <c r="E28" s="511" t="str">
        <f>VLOOKUP(B28,'PTLL (2)'!$B$5:$J$42,2,0)</f>
        <v xml:space="preserve">Bộ </v>
      </c>
      <c r="F28" s="515">
        <f>VLOOKUP(B28,'PTLL (2)'!$B$5:$J$42,3,0)</f>
        <v>2</v>
      </c>
      <c r="G28" s="515">
        <f>VLOOKUP(B28,bgct!$B$10:$O$39,14,0)</f>
        <v>6980000</v>
      </c>
      <c r="H28" s="515">
        <f>F28*G28</f>
        <v>13960000</v>
      </c>
      <c r="I28" s="511"/>
    </row>
    <row r="29" spans="1:9" ht="32.25" customHeight="1" x14ac:dyDescent="0.3">
      <c r="A29" s="517">
        <v>2</v>
      </c>
      <c r="B29" s="543" t="str">
        <f>'PTLL (2)'!B28</f>
        <v>Nguồn lưu điện 1K2VA UPS</v>
      </c>
      <c r="C29" s="800" t="str">
        <f t="shared" si="1"/>
        <v>Nguồn lưu điện 1K2VA UPS</v>
      </c>
      <c r="D29" s="798"/>
      <c r="E29" s="517" t="str">
        <f>VLOOKUP(B29,'PTLL (2)'!$B$5:$J$42,2,0)</f>
        <v xml:space="preserve">Bộ </v>
      </c>
      <c r="F29" s="521">
        <f>VLOOKUP(B29,'PTLL (2)'!$B$5:$J$42,3,0)</f>
        <v>2</v>
      </c>
      <c r="G29" s="521">
        <f>VLOOKUP(B29,bgct!$B$10:$O$39,14,0)</f>
        <v>3020000</v>
      </c>
      <c r="H29" s="521">
        <f>F29*G29</f>
        <v>6040000</v>
      </c>
      <c r="I29" s="517"/>
    </row>
    <row r="30" spans="1:9" ht="32.25" customHeight="1" x14ac:dyDescent="0.3">
      <c r="A30" s="527">
        <v>3</v>
      </c>
      <c r="B30" s="528" t="str">
        <f>'PTLL (2)'!B29</f>
        <v xml:space="preserve">Nguồn lưu điện 3KVA UPS </v>
      </c>
      <c r="C30" s="795" t="str">
        <f t="shared" si="1"/>
        <v xml:space="preserve">Nguồn lưu điện 3KVA UPS </v>
      </c>
      <c r="D30" s="796"/>
      <c r="E30" s="527" t="str">
        <f>VLOOKUP(B30,'PTLL (2)'!$B$5:$J$42,2,0)</f>
        <v xml:space="preserve">Bộ </v>
      </c>
      <c r="F30" s="531">
        <f>VLOOKUP(B30,'PTLL (2)'!$B$5:$J$42,3,0)</f>
        <v>1</v>
      </c>
      <c r="G30" s="531">
        <f>VLOOKUP(B30,bgct!$B$10:$O$39,14,0)</f>
        <v>9640000</v>
      </c>
      <c r="H30" s="531">
        <f>F30*G30</f>
        <v>9640000</v>
      </c>
      <c r="I30" s="545"/>
    </row>
    <row r="31" spans="1:9" ht="32.25" customHeight="1" x14ac:dyDescent="0.3">
      <c r="A31" s="506" t="s">
        <v>88</v>
      </c>
      <c r="B31" s="546"/>
      <c r="C31" s="547"/>
      <c r="D31" s="547"/>
      <c r="E31" s="546"/>
      <c r="F31" s="548"/>
      <c r="G31" s="549"/>
      <c r="H31" s="550">
        <f>SUBTOTAL(9,H32)</f>
        <v>37500000</v>
      </c>
      <c r="I31" s="551"/>
    </row>
    <row r="32" spans="1:9" ht="32.25" customHeight="1" x14ac:dyDescent="0.3">
      <c r="A32" s="553">
        <v>1</v>
      </c>
      <c r="B32" s="554" t="str">
        <f>'[16]ptll 61 cam'!B29</f>
        <v>Vật tư phụ</v>
      </c>
      <c r="C32" s="581" t="s">
        <v>249</v>
      </c>
      <c r="D32" s="582"/>
      <c r="E32" s="555" t="str">
        <f>VLOOKUP(B32,'[16]ptll 61 cam'!$B$6:$K$35,4,0)</f>
        <v>Gói</v>
      </c>
      <c r="F32" s="556">
        <f>VLOOKUP(B32,'[16]ptll 61 cam'!$B$6:$K$35,5,0)</f>
        <v>1</v>
      </c>
      <c r="G32" s="515">
        <f>VLOOKUP(B32,bgct!$B$10:$O$39,14,0)</f>
        <v>37500000</v>
      </c>
      <c r="H32" s="557">
        <f>F32*G32</f>
        <v>37500000</v>
      </c>
      <c r="I32" s="553"/>
    </row>
    <row r="33" spans="1:9" ht="32.25" customHeight="1" x14ac:dyDescent="0.3">
      <c r="A33" s="807" t="s">
        <v>107</v>
      </c>
      <c r="B33" s="808"/>
      <c r="C33" s="808"/>
      <c r="D33" s="808"/>
      <c r="E33" s="808"/>
      <c r="F33" s="808"/>
      <c r="G33" s="808"/>
      <c r="H33" s="550">
        <f>SUBTOTAL(9,H34)</f>
        <v>115800000</v>
      </c>
      <c r="I33" s="551"/>
    </row>
    <row r="34" spans="1:9" ht="32.25" customHeight="1" x14ac:dyDescent="0.3">
      <c r="A34" s="558">
        <v>1</v>
      </c>
      <c r="B34" s="559" t="s">
        <v>108</v>
      </c>
      <c r="C34" s="581" t="s">
        <v>253</v>
      </c>
      <c r="D34" s="582"/>
      <c r="E34" s="558" t="s">
        <v>6</v>
      </c>
      <c r="F34" s="560">
        <v>1</v>
      </c>
      <c r="G34" s="515">
        <f>VLOOKUP(B34,bgct!$B$10:$O$39,14,0)</f>
        <v>115800000</v>
      </c>
      <c r="H34" s="561">
        <f>G34*F34</f>
        <v>115800000</v>
      </c>
      <c r="I34" s="561"/>
    </row>
    <row r="35" spans="1:9" s="583" customFormat="1" ht="32.25" customHeight="1" x14ac:dyDescent="0.3">
      <c r="A35" s="810" t="s">
        <v>110</v>
      </c>
      <c r="B35" s="810"/>
      <c r="C35" s="810"/>
      <c r="D35" s="810"/>
      <c r="E35" s="810"/>
      <c r="F35" s="810"/>
      <c r="G35" s="810"/>
      <c r="H35" s="505">
        <f>SUBTOTAL(9,H8:H34)</f>
        <v>558847000</v>
      </c>
      <c r="I35" s="505"/>
    </row>
    <row r="36" spans="1:9" s="583" customFormat="1" ht="32.25" customHeight="1" x14ac:dyDescent="0.3">
      <c r="A36" s="810" t="s">
        <v>8</v>
      </c>
      <c r="B36" s="810"/>
      <c r="C36" s="810"/>
      <c r="D36" s="810"/>
      <c r="E36" s="810"/>
      <c r="F36" s="810"/>
      <c r="G36" s="810"/>
      <c r="H36" s="505">
        <f>H35*0.1</f>
        <v>55884700</v>
      </c>
      <c r="I36" s="505"/>
    </row>
    <row r="37" spans="1:9" s="583" customFormat="1" ht="31.5" customHeight="1" x14ac:dyDescent="0.3">
      <c r="A37" s="810" t="s">
        <v>111</v>
      </c>
      <c r="B37" s="810"/>
      <c r="C37" s="810"/>
      <c r="D37" s="810"/>
      <c r="E37" s="810"/>
      <c r="F37" s="810"/>
      <c r="G37" s="810"/>
      <c r="H37" s="505">
        <f>H35+H36</f>
        <v>614731700</v>
      </c>
      <c r="I37" s="505"/>
    </row>
    <row r="38" spans="1:9" x14ac:dyDescent="0.3">
      <c r="A38" s="587"/>
      <c r="C38" s="592" t="s">
        <v>9</v>
      </c>
      <c r="D38" s="592"/>
      <c r="E38" s="593"/>
      <c r="F38" s="587"/>
      <c r="G38" s="588"/>
      <c r="H38" s="589"/>
      <c r="I38" s="588"/>
    </row>
    <row r="39" spans="1:9" x14ac:dyDescent="0.3">
      <c r="A39" s="587"/>
      <c r="C39" s="585" t="s">
        <v>255</v>
      </c>
      <c r="D39" s="585"/>
      <c r="E39" s="586"/>
      <c r="F39" s="587"/>
      <c r="G39" s="588"/>
      <c r="H39" s="589"/>
      <c r="I39" s="588"/>
    </row>
    <row r="40" spans="1:9" x14ac:dyDescent="0.3">
      <c r="A40" s="811"/>
      <c r="B40" s="811"/>
      <c r="C40" s="811"/>
      <c r="D40" s="584"/>
      <c r="E40" s="590"/>
      <c r="F40" s="591"/>
      <c r="G40" s="812" t="s">
        <v>161</v>
      </c>
      <c r="H40" s="812"/>
      <c r="I40" s="812"/>
    </row>
    <row r="41" spans="1:9" x14ac:dyDescent="0.3">
      <c r="A41" s="562"/>
      <c r="B41" s="563"/>
      <c r="C41" s="578"/>
      <c r="D41" s="578"/>
      <c r="E41" s="578"/>
      <c r="F41" s="564"/>
      <c r="G41" s="809" t="s">
        <v>162</v>
      </c>
      <c r="H41" s="809"/>
      <c r="I41" s="809"/>
    </row>
    <row r="42" spans="1:9" x14ac:dyDescent="0.3">
      <c r="A42" s="564"/>
      <c r="B42" s="577"/>
      <c r="C42" s="578"/>
      <c r="D42" s="145"/>
      <c r="E42" s="564"/>
      <c r="F42" s="564"/>
      <c r="G42" s="579"/>
      <c r="H42" s="579"/>
      <c r="I42" s="564"/>
    </row>
  </sheetData>
  <mergeCells count="20">
    <mergeCell ref="A33:G33"/>
    <mergeCell ref="G41:I41"/>
    <mergeCell ref="A35:G35"/>
    <mergeCell ref="A36:G36"/>
    <mergeCell ref="A37:G37"/>
    <mergeCell ref="A40:C40"/>
    <mergeCell ref="G40:I40"/>
    <mergeCell ref="C30:D30"/>
    <mergeCell ref="C23:D23"/>
    <mergeCell ref="C24:D24"/>
    <mergeCell ref="C25:D25"/>
    <mergeCell ref="A1:I1"/>
    <mergeCell ref="A2:I2"/>
    <mergeCell ref="C18:D18"/>
    <mergeCell ref="C19:D19"/>
    <mergeCell ref="C20:D20"/>
    <mergeCell ref="C21:D21"/>
    <mergeCell ref="C22:D22"/>
    <mergeCell ref="C28:D28"/>
    <mergeCell ref="C29:D29"/>
  </mergeCells>
  <pageMargins left="0.5" right="0.5" top="0.5" bottom="0.5" header="0.3" footer="0.3"/>
  <pageSetup paperSize="9" scale="6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D43"/>
  <sheetViews>
    <sheetView tabSelected="1" zoomScale="85" zoomScaleNormal="85" workbookViewId="0">
      <selection activeCell="K23" sqref="K23"/>
    </sheetView>
  </sheetViews>
  <sheetFormatPr defaultRowHeight="15" x14ac:dyDescent="0.25"/>
  <cols>
    <col min="2" max="2" width="11" customWidth="1"/>
    <col min="3" max="3" width="5.85546875" customWidth="1"/>
    <col min="4" max="4" width="12.85546875" customWidth="1"/>
    <col min="8" max="8" width="13.7109375" customWidth="1"/>
    <col min="9" max="9" width="13.85546875" customWidth="1"/>
    <col min="10" max="10" width="13.28515625" customWidth="1"/>
    <col min="11" max="11" width="9.5703125" bestFit="1" customWidth="1"/>
    <col min="13" max="13" width="13.42578125" customWidth="1"/>
    <col min="14" max="14" width="16.85546875" customWidth="1"/>
    <col min="18" max="18" width="12.7109375" customWidth="1"/>
    <col min="23" max="23" width="11.7109375" customWidth="1"/>
    <col min="24" max="24" width="12.28515625" customWidth="1"/>
  </cols>
  <sheetData>
    <row r="2" spans="2:27" x14ac:dyDescent="0.25">
      <c r="L2" t="s">
        <v>293</v>
      </c>
      <c r="O2">
        <f>K12+Y12</f>
        <v>94</v>
      </c>
    </row>
    <row r="3" spans="2:27" x14ac:dyDescent="0.25">
      <c r="J3" t="s">
        <v>345</v>
      </c>
      <c r="K3" s="6">
        <f>SUM(M13:M37)*1.1</f>
        <v>2788.5</v>
      </c>
      <c r="N3" t="s">
        <v>294</v>
      </c>
      <c r="O3">
        <f>I12+W12</f>
        <v>0</v>
      </c>
      <c r="Q3" t="s">
        <v>299</v>
      </c>
      <c r="R3">
        <f>G12+U12</f>
        <v>2</v>
      </c>
      <c r="T3" t="s">
        <v>301</v>
      </c>
      <c r="U3">
        <f>O2/32</f>
        <v>2.9375</v>
      </c>
      <c r="V3">
        <f>ROUND(U3,0)</f>
        <v>3</v>
      </c>
    </row>
    <row r="4" spans="2:27" x14ac:dyDescent="0.25">
      <c r="N4" t="s">
        <v>295</v>
      </c>
      <c r="O4">
        <f>J12+X12</f>
        <v>94</v>
      </c>
      <c r="Q4" t="s">
        <v>290</v>
      </c>
      <c r="R4">
        <f>C12+Q12</f>
        <v>2</v>
      </c>
      <c r="V4" t="s">
        <v>348</v>
      </c>
      <c r="AA4" t="s">
        <v>292</v>
      </c>
    </row>
    <row r="5" spans="2:27" x14ac:dyDescent="0.25">
      <c r="J5" t="s">
        <v>347</v>
      </c>
      <c r="K5">
        <v>300</v>
      </c>
      <c r="N5" t="s">
        <v>296</v>
      </c>
      <c r="O5">
        <f>E12+S12</f>
        <v>5</v>
      </c>
      <c r="Q5" t="s">
        <v>291</v>
      </c>
      <c r="R5">
        <f>B12+P12</f>
        <v>2</v>
      </c>
      <c r="V5" t="s">
        <v>349</v>
      </c>
    </row>
    <row r="6" spans="2:27" x14ac:dyDescent="0.25">
      <c r="N6" t="s">
        <v>297</v>
      </c>
      <c r="O6">
        <f>F12+T12</f>
        <v>1</v>
      </c>
      <c r="Q6" t="s">
        <v>306</v>
      </c>
      <c r="R6">
        <f>D12+R12</f>
        <v>2</v>
      </c>
    </row>
    <row r="7" spans="2:27" x14ac:dyDescent="0.25">
      <c r="N7" t="s">
        <v>298</v>
      </c>
      <c r="Q7" t="s">
        <v>300</v>
      </c>
    </row>
    <row r="8" spans="2:27" x14ac:dyDescent="0.25">
      <c r="B8" s="813" t="s">
        <v>336</v>
      </c>
      <c r="C8" s="813"/>
      <c r="D8" s="813"/>
      <c r="E8" s="813"/>
      <c r="F8" s="813"/>
      <c r="G8" s="813"/>
      <c r="H8" s="813"/>
      <c r="I8" s="813"/>
      <c r="J8" s="813"/>
      <c r="K8" s="813"/>
      <c r="L8" s="813"/>
      <c r="M8" s="813"/>
      <c r="N8" s="813"/>
      <c r="P8" s="624"/>
      <c r="Q8" s="624"/>
      <c r="R8" s="624"/>
      <c r="S8" s="624"/>
      <c r="T8" s="624"/>
      <c r="U8" s="624"/>
      <c r="V8" s="624" t="s">
        <v>292</v>
      </c>
      <c r="W8" s="624"/>
      <c r="X8" s="624"/>
      <c r="Y8" s="624"/>
      <c r="Z8" s="624"/>
      <c r="AA8" s="624"/>
    </row>
    <row r="9" spans="2:27" x14ac:dyDescent="0.25">
      <c r="B9" s="623"/>
      <c r="C9" s="623"/>
      <c r="D9" s="623"/>
      <c r="E9" s="623"/>
      <c r="F9" s="623"/>
      <c r="G9" s="623"/>
      <c r="H9" s="623"/>
      <c r="I9" s="623"/>
      <c r="J9" s="623"/>
      <c r="K9" s="623"/>
      <c r="L9" s="623">
        <f>J12+I12</f>
        <v>94</v>
      </c>
      <c r="M9" s="623"/>
      <c r="N9" s="623"/>
      <c r="P9" s="624"/>
      <c r="Q9" s="624"/>
      <c r="R9" s="624"/>
      <c r="S9" s="624"/>
      <c r="T9" s="624"/>
      <c r="U9" s="624"/>
      <c r="V9" s="624"/>
      <c r="W9" s="624"/>
      <c r="X9" s="624"/>
      <c r="Y9" s="624"/>
      <c r="Z9" s="624"/>
      <c r="AA9" s="624"/>
    </row>
    <row r="10" spans="2:27" x14ac:dyDescent="0.25">
      <c r="B10" s="130"/>
      <c r="C10" s="130"/>
      <c r="D10" s="130"/>
      <c r="E10" s="130"/>
      <c r="F10" s="130" t="s">
        <v>26</v>
      </c>
      <c r="G10" s="130"/>
      <c r="H10" s="130"/>
      <c r="I10" s="130"/>
      <c r="J10" s="138"/>
      <c r="K10" s="138"/>
      <c r="L10" s="138"/>
      <c r="M10" s="138"/>
      <c r="N10" s="138"/>
      <c r="P10" s="130"/>
      <c r="Q10" s="130"/>
      <c r="R10" s="130"/>
      <c r="S10" s="130"/>
      <c r="T10" s="130" t="s">
        <v>26</v>
      </c>
      <c r="U10" s="130"/>
      <c r="V10" s="130"/>
      <c r="W10" s="130"/>
      <c r="X10" s="138"/>
      <c r="Y10" s="138"/>
      <c r="Z10" s="138"/>
      <c r="AA10" s="138"/>
    </row>
    <row r="11" spans="2:27" x14ac:dyDescent="0.25">
      <c r="B11" s="130" t="s">
        <v>291</v>
      </c>
      <c r="C11" s="130" t="s">
        <v>290</v>
      </c>
      <c r="D11" s="130" t="s">
        <v>305</v>
      </c>
      <c r="E11" s="130" t="s">
        <v>280</v>
      </c>
      <c r="F11" s="130" t="s">
        <v>281</v>
      </c>
      <c r="G11" s="130" t="s">
        <v>284</v>
      </c>
      <c r="H11" s="130" t="s">
        <v>289</v>
      </c>
      <c r="I11" s="130" t="s">
        <v>286</v>
      </c>
      <c r="J11" s="138" t="s">
        <v>285</v>
      </c>
      <c r="K11" s="138" t="s">
        <v>287</v>
      </c>
      <c r="L11" s="138" t="s">
        <v>288</v>
      </c>
      <c r="M11" s="138" t="s">
        <v>345</v>
      </c>
      <c r="N11" s="138"/>
      <c r="P11" s="130" t="s">
        <v>291</v>
      </c>
      <c r="Q11" s="130" t="s">
        <v>290</v>
      </c>
      <c r="R11" s="130" t="s">
        <v>305</v>
      </c>
      <c r="S11" s="130" t="s">
        <v>280</v>
      </c>
      <c r="T11" s="130" t="s">
        <v>281</v>
      </c>
      <c r="U11" s="130" t="s">
        <v>284</v>
      </c>
      <c r="V11" s="130" t="s">
        <v>289</v>
      </c>
      <c r="W11" s="130" t="s">
        <v>286</v>
      </c>
      <c r="X11" s="138" t="s">
        <v>285</v>
      </c>
      <c r="Y11" s="138" t="s">
        <v>287</v>
      </c>
      <c r="Z11" s="138" t="s">
        <v>288</v>
      </c>
      <c r="AA11" s="138"/>
    </row>
    <row r="12" spans="2:27" x14ac:dyDescent="0.25">
      <c r="B12" s="130">
        <f t="shared" ref="B12:G12" si="0">SUM(B18:B41)</f>
        <v>2</v>
      </c>
      <c r="C12" s="130">
        <f t="shared" si="0"/>
        <v>2</v>
      </c>
      <c r="D12" s="130">
        <f t="shared" si="0"/>
        <v>2</v>
      </c>
      <c r="E12" s="130">
        <f t="shared" si="0"/>
        <v>5</v>
      </c>
      <c r="F12" s="130">
        <f t="shared" si="0"/>
        <v>1</v>
      </c>
      <c r="G12" s="130">
        <f t="shared" si="0"/>
        <v>2</v>
      </c>
      <c r="H12" s="130"/>
      <c r="I12" s="130">
        <f>SUM(K38:K41)</f>
        <v>0</v>
      </c>
      <c r="J12" s="130">
        <f>SUM(K13:K37)</f>
        <v>94</v>
      </c>
      <c r="K12" s="130">
        <f>SUM(K13:K41)</f>
        <v>94</v>
      </c>
      <c r="L12" s="130"/>
      <c r="M12" s="130"/>
      <c r="N12" s="130"/>
      <c r="P12" s="130"/>
      <c r="Q12" s="130"/>
      <c r="R12" s="130"/>
      <c r="S12" s="130"/>
      <c r="T12" s="130"/>
      <c r="U12" s="130"/>
      <c r="V12" s="130"/>
      <c r="W12" s="130"/>
      <c r="X12" s="130"/>
      <c r="Y12" s="130"/>
      <c r="Z12" s="130"/>
      <c r="AA12" s="130"/>
    </row>
    <row r="13" spans="2:27" x14ac:dyDescent="0.25">
      <c r="B13" s="622"/>
      <c r="C13" s="622"/>
      <c r="D13" s="622"/>
      <c r="E13" s="622"/>
      <c r="F13" s="622"/>
      <c r="G13" s="622"/>
      <c r="H13" s="622"/>
      <c r="I13" s="622"/>
      <c r="J13" s="622"/>
      <c r="K13" s="622">
        <v>2</v>
      </c>
      <c r="L13" s="653" t="s">
        <v>338</v>
      </c>
      <c r="M13" s="653">
        <v>125</v>
      </c>
      <c r="N13" s="130"/>
      <c r="P13" s="130"/>
      <c r="Q13" s="130"/>
      <c r="R13" s="130"/>
      <c r="S13" s="130"/>
      <c r="T13" s="130"/>
      <c r="U13" s="130"/>
      <c r="V13" s="130"/>
      <c r="W13" s="130"/>
      <c r="X13" s="130"/>
      <c r="Y13" s="130"/>
      <c r="Z13" s="130"/>
      <c r="AA13" s="130"/>
    </row>
    <row r="14" spans="2:27" x14ac:dyDescent="0.25">
      <c r="B14" s="622"/>
      <c r="C14" s="622"/>
      <c r="D14" s="622"/>
      <c r="E14" s="622"/>
      <c r="F14" s="622"/>
      <c r="G14" s="622"/>
      <c r="H14" s="622"/>
      <c r="I14" s="622"/>
      <c r="J14" s="622"/>
      <c r="K14" s="622">
        <v>4</v>
      </c>
      <c r="L14" s="622">
        <v>24</v>
      </c>
      <c r="M14" s="622">
        <v>120</v>
      </c>
      <c r="N14" s="130">
        <v>1</v>
      </c>
      <c r="P14" s="130"/>
      <c r="Q14" s="130"/>
      <c r="R14" s="130"/>
      <c r="S14" s="130"/>
      <c r="T14" s="130"/>
      <c r="U14" s="130"/>
      <c r="V14" s="130"/>
      <c r="W14" s="130"/>
      <c r="X14" s="130"/>
      <c r="Y14" s="130"/>
      <c r="Z14" s="130"/>
      <c r="AA14" s="130"/>
    </row>
    <row r="15" spans="2:27" x14ac:dyDescent="0.25">
      <c r="B15" s="622"/>
      <c r="C15" s="622"/>
      <c r="D15" s="622"/>
      <c r="E15" s="622"/>
      <c r="F15" s="622"/>
      <c r="G15" s="622"/>
      <c r="H15" s="622"/>
      <c r="I15" s="622"/>
      <c r="J15" s="622"/>
      <c r="K15" s="622">
        <v>4</v>
      </c>
      <c r="L15" s="622">
        <v>23</v>
      </c>
      <c r="M15" s="622">
        <v>115</v>
      </c>
      <c r="N15" s="130">
        <v>1</v>
      </c>
      <c r="P15" s="130"/>
      <c r="Q15" s="130"/>
      <c r="R15" s="130"/>
      <c r="S15" s="130"/>
      <c r="T15" s="130"/>
      <c r="U15" s="130"/>
      <c r="V15" s="130"/>
      <c r="W15" s="130"/>
      <c r="X15" s="130"/>
      <c r="Y15" s="130"/>
      <c r="Z15" s="130"/>
      <c r="AA15" s="130"/>
    </row>
    <row r="16" spans="2:27" x14ac:dyDescent="0.25">
      <c r="B16" s="622"/>
      <c r="C16" s="622"/>
      <c r="D16" s="622"/>
      <c r="E16" s="622"/>
      <c r="F16" s="622"/>
      <c r="G16" s="622"/>
      <c r="H16" s="622"/>
      <c r="I16" s="622"/>
      <c r="J16" s="622"/>
      <c r="K16" s="622">
        <v>4</v>
      </c>
      <c r="L16" s="622">
        <v>22</v>
      </c>
      <c r="M16" s="622">
        <v>105</v>
      </c>
      <c r="N16" s="130">
        <v>1</v>
      </c>
      <c r="P16" s="130"/>
      <c r="Q16" s="130"/>
      <c r="R16" s="130"/>
      <c r="S16" s="130"/>
      <c r="T16" s="130"/>
      <c r="U16" s="130"/>
      <c r="V16" s="130"/>
      <c r="W16" s="130"/>
      <c r="X16" s="130"/>
      <c r="Y16" s="130"/>
      <c r="Z16" s="130"/>
      <c r="AA16" s="130"/>
    </row>
    <row r="17" spans="2:30" x14ac:dyDescent="0.25">
      <c r="B17" s="622"/>
      <c r="C17" s="622"/>
      <c r="D17" s="622"/>
      <c r="E17" s="622"/>
      <c r="F17" s="622"/>
      <c r="G17" s="622"/>
      <c r="H17" s="622"/>
      <c r="I17" s="622"/>
      <c r="J17" s="622"/>
      <c r="K17" s="622">
        <v>4</v>
      </c>
      <c r="L17" s="622">
        <v>21</v>
      </c>
      <c r="M17" s="622">
        <v>100</v>
      </c>
      <c r="N17" s="130">
        <v>1</v>
      </c>
      <c r="P17" s="130"/>
      <c r="Q17" s="130"/>
      <c r="R17" s="130"/>
      <c r="S17" s="130"/>
      <c r="T17" s="130"/>
      <c r="U17" s="130"/>
      <c r="V17" s="130"/>
      <c r="W17" s="130"/>
      <c r="X17" s="130"/>
      <c r="Y17" s="130"/>
      <c r="Z17" s="130"/>
      <c r="AA17" s="130"/>
      <c r="AC17">
        <f>24*2</f>
        <v>48</v>
      </c>
    </row>
    <row r="18" spans="2:30" x14ac:dyDescent="0.25">
      <c r="B18" s="622"/>
      <c r="C18" s="622"/>
      <c r="D18" s="622"/>
      <c r="E18" s="622"/>
      <c r="F18" s="622"/>
      <c r="G18" s="622"/>
      <c r="H18" s="622"/>
      <c r="I18" s="622"/>
      <c r="J18" s="622"/>
      <c r="K18" s="622">
        <v>4</v>
      </c>
      <c r="L18" s="622">
        <v>20</v>
      </c>
      <c r="M18" s="622">
        <v>95</v>
      </c>
      <c r="N18" s="130">
        <v>1</v>
      </c>
      <c r="P18" s="622"/>
      <c r="Q18" s="622"/>
      <c r="R18" s="622"/>
      <c r="S18" s="622"/>
      <c r="T18" s="622"/>
      <c r="U18" s="622"/>
      <c r="V18" s="622"/>
      <c r="W18" s="622"/>
      <c r="X18" s="622"/>
      <c r="Y18" s="622"/>
      <c r="Z18" s="622"/>
      <c r="AA18" s="622"/>
      <c r="AC18">
        <v>16</v>
      </c>
    </row>
    <row r="19" spans="2:30" x14ac:dyDescent="0.25">
      <c r="B19" s="622">
        <v>1</v>
      </c>
      <c r="C19" s="622">
        <v>1</v>
      </c>
      <c r="D19" s="622">
        <v>1</v>
      </c>
      <c r="E19" s="622">
        <v>3</v>
      </c>
      <c r="F19" s="622"/>
      <c r="G19" s="622">
        <v>1</v>
      </c>
      <c r="H19" s="622">
        <f>SUM(K13:K25)</f>
        <v>50</v>
      </c>
      <c r="I19" s="622"/>
      <c r="J19" s="622"/>
      <c r="K19" s="622">
        <v>4</v>
      </c>
      <c r="L19" s="622">
        <f>L18-1</f>
        <v>19</v>
      </c>
      <c r="M19" s="622">
        <v>90</v>
      </c>
      <c r="N19" s="130">
        <v>1</v>
      </c>
      <c r="P19" s="622"/>
      <c r="Q19" s="622"/>
      <c r="R19" s="622"/>
      <c r="S19" s="622"/>
      <c r="T19" s="622"/>
      <c r="U19" s="622"/>
      <c r="V19" s="622"/>
      <c r="W19" s="622"/>
      <c r="X19" s="622"/>
      <c r="Y19" s="622"/>
      <c r="Z19" s="622"/>
      <c r="AA19" s="622"/>
      <c r="AC19">
        <f>AC17+AC18</f>
        <v>64</v>
      </c>
      <c r="AD19">
        <f>14/3</f>
        <v>4.666666666666667</v>
      </c>
    </row>
    <row r="20" spans="2:30" x14ac:dyDescent="0.25">
      <c r="B20" s="622"/>
      <c r="C20" s="622"/>
      <c r="D20" s="622"/>
      <c r="E20" s="622"/>
      <c r="F20" s="622"/>
      <c r="G20" s="622"/>
      <c r="H20" s="622"/>
      <c r="I20" s="622"/>
      <c r="J20" s="622"/>
      <c r="K20" s="622">
        <v>4</v>
      </c>
      <c r="L20" s="622">
        <f t="shared" ref="L20:L38" si="1">L19-1</f>
        <v>18</v>
      </c>
      <c r="M20" s="622">
        <v>95</v>
      </c>
      <c r="N20" s="130">
        <v>1</v>
      </c>
      <c r="P20" s="622"/>
      <c r="Q20" s="622"/>
      <c r="R20" s="622"/>
      <c r="S20" s="622"/>
      <c r="T20" s="622"/>
      <c r="U20" s="622"/>
      <c r="V20" s="622"/>
      <c r="W20" s="622"/>
      <c r="X20" s="622"/>
      <c r="Y20" s="622"/>
      <c r="Z20" s="622"/>
      <c r="AA20" s="622"/>
    </row>
    <row r="21" spans="2:30" x14ac:dyDescent="0.25">
      <c r="B21" s="622"/>
      <c r="C21" s="622"/>
      <c r="D21" s="622"/>
      <c r="E21" s="622"/>
      <c r="F21" s="622"/>
      <c r="G21" s="622"/>
      <c r="H21" s="622"/>
      <c r="I21" s="622"/>
      <c r="J21" s="622"/>
      <c r="K21" s="622">
        <v>4</v>
      </c>
      <c r="L21" s="622">
        <f t="shared" si="1"/>
        <v>17</v>
      </c>
      <c r="M21" s="622">
        <v>100</v>
      </c>
      <c r="N21" s="130">
        <v>1</v>
      </c>
      <c r="P21" s="622"/>
      <c r="Q21" s="622"/>
      <c r="R21" s="622"/>
      <c r="S21" s="622"/>
      <c r="T21" s="622"/>
      <c r="U21" s="622"/>
      <c r="V21" s="622"/>
      <c r="W21" s="622"/>
      <c r="X21" s="622"/>
      <c r="Y21" s="622"/>
      <c r="Z21" s="622"/>
      <c r="AA21" s="622"/>
      <c r="AC21">
        <f>16*4</f>
        <v>64</v>
      </c>
    </row>
    <row r="22" spans="2:30" x14ac:dyDescent="0.25">
      <c r="B22" s="652"/>
      <c r="C22" s="652"/>
      <c r="D22" s="652"/>
      <c r="E22" s="652"/>
      <c r="F22" s="652"/>
      <c r="G22" s="652"/>
      <c r="H22" s="652"/>
      <c r="I22" s="622"/>
      <c r="J22" s="622"/>
      <c r="K22" s="622">
        <v>4</v>
      </c>
      <c r="L22" s="622">
        <f t="shared" si="1"/>
        <v>16</v>
      </c>
      <c r="M22" s="622">
        <v>105</v>
      </c>
      <c r="N22" s="130">
        <v>1</v>
      </c>
      <c r="P22" s="622"/>
      <c r="Q22" s="622"/>
      <c r="R22" s="622"/>
      <c r="S22" s="622"/>
      <c r="T22" s="622"/>
      <c r="U22" s="622"/>
      <c r="V22" s="622"/>
      <c r="W22" s="622"/>
      <c r="X22" s="622"/>
      <c r="Y22" s="622"/>
      <c r="Z22" s="622"/>
      <c r="AA22" s="622"/>
    </row>
    <row r="23" spans="2:30" x14ac:dyDescent="0.25">
      <c r="B23" s="622"/>
      <c r="C23" s="622"/>
      <c r="D23" s="622"/>
      <c r="E23" s="622"/>
      <c r="F23" s="622"/>
      <c r="G23" s="622"/>
      <c r="H23" s="622"/>
      <c r="I23" s="622"/>
      <c r="J23" s="622"/>
      <c r="K23" s="622">
        <v>4</v>
      </c>
      <c r="L23" s="622">
        <f t="shared" si="1"/>
        <v>15</v>
      </c>
      <c r="M23" s="622">
        <v>110</v>
      </c>
      <c r="N23" s="130">
        <v>1</v>
      </c>
      <c r="P23" s="622"/>
      <c r="Q23" s="622"/>
      <c r="R23" s="622"/>
      <c r="S23" s="622"/>
      <c r="T23" s="622"/>
      <c r="U23" s="622"/>
      <c r="V23" s="622"/>
      <c r="W23" s="622"/>
      <c r="X23" s="622"/>
      <c r="Y23" s="622"/>
      <c r="Z23" s="622"/>
      <c r="AA23" s="622"/>
    </row>
    <row r="24" spans="2:30" x14ac:dyDescent="0.25">
      <c r="B24" s="622"/>
      <c r="C24" s="622"/>
      <c r="D24" s="622"/>
      <c r="E24" s="622"/>
      <c r="F24" s="622"/>
      <c r="G24" s="622"/>
      <c r="H24" s="622"/>
      <c r="I24" s="622"/>
      <c r="J24" s="622"/>
      <c r="K24" s="622">
        <v>4</v>
      </c>
      <c r="L24" s="622">
        <f t="shared" si="1"/>
        <v>14</v>
      </c>
      <c r="M24" s="622">
        <v>115</v>
      </c>
      <c r="N24" s="130">
        <v>1</v>
      </c>
      <c r="P24" s="622"/>
      <c r="Q24" s="622"/>
      <c r="R24" s="622"/>
      <c r="S24" s="622"/>
      <c r="T24" s="622"/>
      <c r="U24" s="622"/>
      <c r="V24" s="622"/>
      <c r="W24" s="622"/>
      <c r="X24" s="622"/>
      <c r="Y24" s="622"/>
      <c r="Z24" s="622"/>
      <c r="AA24" s="622"/>
      <c r="AC24">
        <f>24*3</f>
        <v>72</v>
      </c>
    </row>
    <row r="25" spans="2:30" x14ac:dyDescent="0.25">
      <c r="B25" s="622"/>
      <c r="C25" s="622"/>
      <c r="D25" s="622"/>
      <c r="E25" s="622"/>
      <c r="F25" s="622"/>
      <c r="G25" s="622"/>
      <c r="H25" s="622"/>
      <c r="I25" s="622"/>
      <c r="J25" s="622"/>
      <c r="K25" s="622">
        <v>4</v>
      </c>
      <c r="L25" s="622">
        <f t="shared" si="1"/>
        <v>13</v>
      </c>
      <c r="M25" s="622">
        <v>120</v>
      </c>
      <c r="N25" s="130">
        <v>1</v>
      </c>
      <c r="P25" s="622"/>
      <c r="Q25" s="622"/>
      <c r="R25" s="622"/>
      <c r="S25" s="622"/>
      <c r="T25" s="622"/>
      <c r="U25" s="622"/>
      <c r="V25" s="622"/>
      <c r="W25" s="622"/>
      <c r="X25" s="622"/>
      <c r="Y25" s="622"/>
      <c r="Z25" s="622"/>
      <c r="AA25" s="622"/>
    </row>
    <row r="26" spans="2:30" x14ac:dyDescent="0.25">
      <c r="B26" s="130"/>
      <c r="C26" s="130"/>
      <c r="D26" s="130"/>
      <c r="E26" s="130"/>
      <c r="F26" s="130"/>
      <c r="G26" s="130"/>
      <c r="H26" s="130"/>
      <c r="I26" s="130"/>
      <c r="J26" s="130"/>
      <c r="K26" s="130"/>
      <c r="L26" s="130"/>
      <c r="M26" s="130"/>
      <c r="N26" s="130"/>
      <c r="P26" s="622"/>
      <c r="Q26" s="622"/>
      <c r="R26" s="622"/>
      <c r="S26" s="622"/>
      <c r="T26" s="622"/>
      <c r="U26" s="622"/>
      <c r="V26" s="622"/>
      <c r="W26" s="622"/>
      <c r="X26" s="622"/>
      <c r="Y26" s="622"/>
      <c r="Z26" s="622"/>
      <c r="AA26" s="622"/>
    </row>
    <row r="27" spans="2:30" x14ac:dyDescent="0.25">
      <c r="B27" s="621"/>
      <c r="C27" s="621"/>
      <c r="D27" s="621"/>
      <c r="E27" s="621"/>
      <c r="F27" s="621"/>
      <c r="G27" s="621"/>
      <c r="H27" s="621"/>
      <c r="I27" s="621"/>
      <c r="J27" s="621"/>
      <c r="K27" s="621">
        <v>4</v>
      </c>
      <c r="L27" s="621">
        <f>L25-1</f>
        <v>12</v>
      </c>
      <c r="M27" s="621">
        <v>115</v>
      </c>
      <c r="N27" s="130">
        <v>1</v>
      </c>
      <c r="P27" s="622"/>
      <c r="Q27" s="622"/>
      <c r="R27" s="622"/>
      <c r="S27" s="622"/>
      <c r="T27" s="622"/>
      <c r="U27" s="622"/>
      <c r="V27" s="622"/>
      <c r="W27" s="622"/>
      <c r="X27" s="622"/>
      <c r="Y27" s="622"/>
      <c r="Z27" s="622"/>
      <c r="AA27" s="622"/>
      <c r="AC27">
        <f>22/3</f>
        <v>7.333333333333333</v>
      </c>
    </row>
    <row r="28" spans="2:30" ht="15.75" customHeight="1" x14ac:dyDescent="0.25">
      <c r="B28" s="621"/>
      <c r="C28" s="621"/>
      <c r="D28" s="621"/>
      <c r="E28" s="621"/>
      <c r="F28" s="621"/>
      <c r="G28" s="621"/>
      <c r="H28" s="621"/>
      <c r="I28" s="621"/>
      <c r="J28" s="621"/>
      <c r="K28" s="621">
        <v>4</v>
      </c>
      <c r="L28" s="621">
        <f>L27-1</f>
        <v>11</v>
      </c>
      <c r="M28" s="621">
        <v>110</v>
      </c>
      <c r="N28" s="130">
        <v>1</v>
      </c>
      <c r="P28" s="621"/>
      <c r="Q28" s="621"/>
      <c r="R28" s="621"/>
      <c r="S28" s="621"/>
      <c r="T28" s="621"/>
      <c r="U28" s="621"/>
      <c r="V28" s="621"/>
      <c r="W28" s="621"/>
      <c r="X28" s="621"/>
      <c r="Y28" s="621"/>
      <c r="Z28" s="621"/>
      <c r="AA28" s="621"/>
    </row>
    <row r="29" spans="2:30" x14ac:dyDescent="0.25">
      <c r="B29" s="621"/>
      <c r="C29" s="621"/>
      <c r="D29" s="621"/>
      <c r="E29" s="621"/>
      <c r="F29" s="621"/>
      <c r="G29" s="621"/>
      <c r="H29" s="621"/>
      <c r="I29" s="621"/>
      <c r="J29" s="621"/>
      <c r="K29" s="621">
        <v>4</v>
      </c>
      <c r="L29" s="621">
        <f t="shared" si="1"/>
        <v>10</v>
      </c>
      <c r="M29" s="621">
        <v>105</v>
      </c>
      <c r="N29" s="130"/>
      <c r="P29" s="621"/>
      <c r="Q29" s="621"/>
      <c r="R29" s="621"/>
      <c r="S29" s="621"/>
      <c r="T29" s="621"/>
      <c r="U29" s="621"/>
      <c r="V29" s="621"/>
      <c r="W29" s="621"/>
      <c r="X29" s="621"/>
      <c r="Y29" s="621"/>
      <c r="Z29" s="621"/>
      <c r="AA29" s="621"/>
    </row>
    <row r="30" spans="2:30" x14ac:dyDescent="0.25">
      <c r="B30" s="621"/>
      <c r="C30" s="621"/>
      <c r="D30" s="621"/>
      <c r="E30" s="621"/>
      <c r="F30" s="621"/>
      <c r="G30" s="621"/>
      <c r="H30" s="621"/>
      <c r="I30" s="621"/>
      <c r="J30" s="621"/>
      <c r="K30" s="621">
        <v>4</v>
      </c>
      <c r="L30" s="621">
        <f t="shared" si="1"/>
        <v>9</v>
      </c>
      <c r="M30" s="621">
        <v>100</v>
      </c>
      <c r="N30" s="130"/>
      <c r="P30" s="621"/>
      <c r="Q30" s="621"/>
      <c r="R30" s="621"/>
      <c r="S30" s="621"/>
      <c r="T30" s="621"/>
      <c r="U30" s="621"/>
      <c r="V30" s="621"/>
      <c r="W30" s="621"/>
      <c r="X30" s="621"/>
      <c r="Y30" s="621"/>
      <c r="Z30" s="621"/>
      <c r="AA30" s="621"/>
      <c r="AC30">
        <f>24*2</f>
        <v>48</v>
      </c>
    </row>
    <row r="31" spans="2:30" x14ac:dyDescent="0.25">
      <c r="B31" s="621"/>
      <c r="C31" s="621"/>
      <c r="D31" s="621"/>
      <c r="E31" s="621"/>
      <c r="F31" s="621"/>
      <c r="G31" s="621"/>
      <c r="H31" s="621"/>
      <c r="I31" s="621"/>
      <c r="J31" s="621"/>
      <c r="K31" s="621">
        <v>4</v>
      </c>
      <c r="L31" s="621">
        <f t="shared" si="1"/>
        <v>8</v>
      </c>
      <c r="M31" s="621">
        <v>95</v>
      </c>
      <c r="N31" s="130"/>
      <c r="P31" s="621"/>
      <c r="Q31" s="621"/>
      <c r="R31" s="621"/>
      <c r="S31" s="621"/>
      <c r="T31" s="621"/>
      <c r="U31" s="621"/>
      <c r="V31" s="621"/>
      <c r="W31" s="621"/>
      <c r="X31" s="621"/>
      <c r="Y31" s="621"/>
      <c r="Z31" s="621"/>
      <c r="AA31" s="621"/>
      <c r="AC31">
        <v>16</v>
      </c>
    </row>
    <row r="32" spans="2:30" x14ac:dyDescent="0.25">
      <c r="B32" s="621">
        <v>1</v>
      </c>
      <c r="C32" s="621">
        <v>1</v>
      </c>
      <c r="D32" s="621">
        <v>1</v>
      </c>
      <c r="E32" s="621">
        <v>2</v>
      </c>
      <c r="F32" s="621">
        <v>1</v>
      </c>
      <c r="G32" s="621">
        <v>1</v>
      </c>
      <c r="H32" s="621">
        <f>SUM(K27:K37)</f>
        <v>44</v>
      </c>
      <c r="I32" s="621"/>
      <c r="J32" s="621"/>
      <c r="K32" s="621">
        <v>4</v>
      </c>
      <c r="L32" s="621">
        <f t="shared" si="1"/>
        <v>7</v>
      </c>
      <c r="M32" s="621">
        <v>90</v>
      </c>
      <c r="N32" s="130"/>
      <c r="P32" s="621"/>
      <c r="Q32" s="621"/>
      <c r="R32" s="621"/>
      <c r="S32" s="621" t="s">
        <v>346</v>
      </c>
      <c r="T32" s="621"/>
      <c r="U32" s="621"/>
      <c r="V32" s="621"/>
      <c r="W32" s="621"/>
      <c r="X32" s="621"/>
      <c r="Y32" s="621"/>
      <c r="Z32" s="621"/>
      <c r="AA32" s="621"/>
      <c r="AC32">
        <f>AC30+AC31</f>
        <v>64</v>
      </c>
    </row>
    <row r="33" spans="2:30" x14ac:dyDescent="0.25">
      <c r="B33" s="621"/>
      <c r="C33" s="621"/>
      <c r="D33" s="621"/>
      <c r="E33" s="621"/>
      <c r="F33" s="621"/>
      <c r="G33" s="621"/>
      <c r="H33" s="621"/>
      <c r="I33" s="621"/>
      <c r="J33" s="621"/>
      <c r="K33" s="621">
        <v>4</v>
      </c>
      <c r="L33" s="621">
        <f t="shared" si="1"/>
        <v>6</v>
      </c>
      <c r="M33" s="621">
        <v>95</v>
      </c>
      <c r="N33" s="130"/>
      <c r="P33" s="621"/>
      <c r="Q33" s="621"/>
      <c r="R33" s="621"/>
      <c r="S33" s="621"/>
      <c r="T33" s="621"/>
      <c r="U33" s="621"/>
      <c r="V33" s="621"/>
      <c r="W33" s="621"/>
      <c r="X33" s="621"/>
      <c r="Y33" s="621"/>
      <c r="Z33" s="621"/>
      <c r="AA33" s="621"/>
      <c r="AD33">
        <f>20</f>
        <v>20</v>
      </c>
    </row>
    <row r="34" spans="2:30" x14ac:dyDescent="0.25">
      <c r="B34" s="621"/>
      <c r="C34" s="621"/>
      <c r="D34" s="621"/>
      <c r="E34" s="621"/>
      <c r="F34" s="621"/>
      <c r="G34" s="621"/>
      <c r="H34" s="621"/>
      <c r="I34" s="621"/>
      <c r="J34" s="621"/>
      <c r="K34" s="621">
        <v>4</v>
      </c>
      <c r="L34" s="621">
        <f t="shared" si="1"/>
        <v>5</v>
      </c>
      <c r="M34" s="621">
        <v>100</v>
      </c>
      <c r="N34" s="130"/>
      <c r="P34" s="621"/>
      <c r="Q34" s="621"/>
      <c r="R34" s="621"/>
      <c r="S34" s="621"/>
      <c r="T34" s="621"/>
      <c r="U34" s="621"/>
      <c r="V34" s="621"/>
      <c r="W34" s="621"/>
      <c r="X34" s="621"/>
      <c r="Y34" s="621"/>
      <c r="Z34" s="621"/>
      <c r="AA34" s="621"/>
    </row>
    <row r="35" spans="2:30" x14ac:dyDescent="0.25">
      <c r="B35" s="621"/>
      <c r="C35" s="621"/>
      <c r="D35" s="621"/>
      <c r="E35" s="621"/>
      <c r="F35" s="621"/>
      <c r="G35" s="621"/>
      <c r="H35" s="621"/>
      <c r="I35" s="621"/>
      <c r="J35" s="621"/>
      <c r="K35" s="621">
        <v>4</v>
      </c>
      <c r="L35" s="621">
        <f t="shared" si="1"/>
        <v>4</v>
      </c>
      <c r="M35" s="621">
        <v>105</v>
      </c>
      <c r="N35" s="130"/>
      <c r="P35" s="621"/>
      <c r="Q35" s="621"/>
      <c r="R35" s="621"/>
      <c r="S35" s="621"/>
      <c r="T35" s="621"/>
      <c r="U35" s="621"/>
      <c r="V35" s="621"/>
      <c r="W35" s="621"/>
      <c r="X35" s="621"/>
      <c r="Y35" s="621"/>
      <c r="Z35" s="621"/>
      <c r="AA35" s="621"/>
    </row>
    <row r="36" spans="2:30" x14ac:dyDescent="0.25">
      <c r="B36" s="621"/>
      <c r="C36" s="621"/>
      <c r="D36" s="621"/>
      <c r="E36" s="621"/>
      <c r="F36" s="621"/>
      <c r="G36" s="621"/>
      <c r="H36" s="621"/>
      <c r="I36" s="621"/>
      <c r="J36" s="621"/>
      <c r="K36" s="621">
        <v>4</v>
      </c>
      <c r="L36" s="621">
        <f t="shared" si="1"/>
        <v>3</v>
      </c>
      <c r="M36" s="621">
        <v>110</v>
      </c>
      <c r="N36" s="130"/>
      <c r="P36" s="621"/>
      <c r="Q36" s="621"/>
      <c r="R36" s="621"/>
      <c r="S36" s="621"/>
      <c r="T36" s="621"/>
      <c r="U36" s="621"/>
      <c r="V36" s="621"/>
      <c r="W36" s="621"/>
      <c r="X36" s="621"/>
      <c r="Y36" s="621"/>
      <c r="Z36" s="621"/>
      <c r="AA36" s="621"/>
    </row>
    <row r="37" spans="2:30" x14ac:dyDescent="0.25">
      <c r="B37" s="621"/>
      <c r="C37" s="621"/>
      <c r="D37" s="621"/>
      <c r="E37" s="621"/>
      <c r="F37" s="621"/>
      <c r="G37" s="621"/>
      <c r="H37" s="621"/>
      <c r="I37" s="621"/>
      <c r="J37" s="621"/>
      <c r="K37" s="621">
        <v>4</v>
      </c>
      <c r="L37" s="621">
        <f t="shared" si="1"/>
        <v>2</v>
      </c>
      <c r="M37" s="621">
        <v>115</v>
      </c>
      <c r="N37" s="130"/>
      <c r="P37" s="130"/>
      <c r="Q37" s="130"/>
      <c r="R37" s="130"/>
      <c r="S37" s="130"/>
      <c r="T37" s="130"/>
      <c r="U37" s="130"/>
      <c r="V37" s="130"/>
      <c r="W37" s="130"/>
      <c r="X37" s="130"/>
      <c r="Y37" s="130"/>
      <c r="Z37" s="130"/>
      <c r="AA37" s="130"/>
    </row>
    <row r="38" spans="2:30" x14ac:dyDescent="0.25">
      <c r="B38" s="622"/>
      <c r="C38" s="622"/>
      <c r="D38" s="622"/>
      <c r="E38" s="622"/>
      <c r="F38" s="622"/>
      <c r="G38" s="622"/>
      <c r="H38" s="622"/>
      <c r="I38" s="622"/>
      <c r="J38" s="622"/>
      <c r="K38" s="622"/>
      <c r="L38" s="653">
        <f t="shared" si="1"/>
        <v>1</v>
      </c>
      <c r="M38" s="653"/>
      <c r="N38" s="130"/>
      <c r="P38" s="622"/>
      <c r="Q38" s="622"/>
      <c r="R38" s="622"/>
      <c r="S38" s="622"/>
      <c r="T38" s="622"/>
      <c r="U38" s="622"/>
      <c r="V38" s="622"/>
      <c r="W38" s="622"/>
      <c r="X38" s="622"/>
      <c r="Y38" s="622"/>
      <c r="Z38" s="622"/>
      <c r="AA38" s="622"/>
    </row>
    <row r="39" spans="2:30" x14ac:dyDescent="0.25">
      <c r="B39" s="622"/>
      <c r="C39" s="622"/>
      <c r="D39" s="622"/>
      <c r="E39" s="622"/>
      <c r="F39" s="622"/>
      <c r="G39" s="622"/>
      <c r="H39" s="622"/>
      <c r="I39" s="622"/>
      <c r="J39" s="622"/>
      <c r="K39" s="622"/>
      <c r="L39" s="653" t="s">
        <v>282</v>
      </c>
      <c r="M39" s="653"/>
      <c r="N39" s="130"/>
      <c r="P39" s="622"/>
      <c r="Q39" s="622"/>
      <c r="R39" s="622"/>
      <c r="S39" s="622"/>
      <c r="T39" s="622"/>
      <c r="U39" s="622"/>
      <c r="V39" s="622"/>
      <c r="W39" s="622"/>
      <c r="X39" s="622"/>
      <c r="Y39" s="622"/>
      <c r="Z39" s="622"/>
      <c r="AA39" s="622"/>
    </row>
    <row r="40" spans="2:30" x14ac:dyDescent="0.25">
      <c r="B40" s="130"/>
      <c r="C40" s="130"/>
      <c r="D40" s="130"/>
      <c r="E40" s="130"/>
      <c r="F40" s="130"/>
      <c r="G40" s="130"/>
      <c r="H40" s="130"/>
      <c r="I40" s="130"/>
      <c r="J40" s="130"/>
      <c r="K40" s="130"/>
      <c r="L40" s="654"/>
      <c r="M40" s="654"/>
      <c r="N40" s="130"/>
      <c r="P40" s="625"/>
      <c r="Q40" s="625"/>
      <c r="R40" s="625"/>
      <c r="S40" s="625"/>
      <c r="T40" s="625"/>
      <c r="U40" s="625"/>
      <c r="V40" s="625"/>
      <c r="W40" s="625"/>
      <c r="X40" s="625"/>
      <c r="Y40" s="625"/>
      <c r="Z40" s="625"/>
      <c r="AA40" s="625"/>
    </row>
    <row r="41" spans="2:30" x14ac:dyDescent="0.25">
      <c r="B41" s="626"/>
      <c r="C41" s="626"/>
      <c r="D41" s="626"/>
      <c r="E41" s="626"/>
      <c r="F41" s="626"/>
      <c r="G41" s="626"/>
      <c r="H41" s="626"/>
      <c r="I41" s="626"/>
      <c r="J41" s="626"/>
      <c r="K41" s="626"/>
      <c r="L41" s="655" t="s">
        <v>283</v>
      </c>
      <c r="M41" s="655"/>
      <c r="N41" s="130"/>
      <c r="P41" s="627"/>
      <c r="Q41" s="627"/>
      <c r="R41" s="627"/>
      <c r="S41" s="627"/>
      <c r="T41" s="627"/>
      <c r="U41" s="627"/>
      <c r="V41" s="627"/>
      <c r="W41" s="627"/>
      <c r="X41" s="627"/>
      <c r="Y41" s="627"/>
      <c r="Z41" s="627"/>
      <c r="AA41" s="627"/>
    </row>
    <row r="43" spans="2:30" x14ac:dyDescent="0.25">
      <c r="N43">
        <f>24*4</f>
        <v>96</v>
      </c>
    </row>
  </sheetData>
  <mergeCells count="1">
    <mergeCell ref="B8:N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89"/>
  <sheetViews>
    <sheetView view="pageBreakPreview" zoomScale="70" zoomScaleNormal="25" zoomScaleSheetLayoutView="70" workbookViewId="0">
      <pane xSplit="2" ySplit="3" topLeftCell="C43" activePane="bottomRight" state="frozen"/>
      <selection activeCell="G23" sqref="G23"/>
      <selection pane="topRight" activeCell="G23" sqref="G23"/>
      <selection pane="bottomLeft" activeCell="G23" sqref="G23"/>
      <selection pane="bottomRight" activeCell="C54" sqref="C54:D54"/>
    </sheetView>
  </sheetViews>
  <sheetFormatPr defaultColWidth="22.140625" defaultRowHeight="17.25" outlineLevelRow="1" x14ac:dyDescent="0.25"/>
  <cols>
    <col min="1" max="1" width="16.28515625" customWidth="1"/>
    <col min="2" max="2" width="74.5703125" customWidth="1"/>
    <col min="3" max="3" width="21.5703125" customWidth="1"/>
    <col min="4" max="4" width="19.7109375" customWidth="1"/>
    <col min="5" max="5" width="31.5703125" customWidth="1"/>
    <col min="6" max="6" width="25.7109375" customWidth="1"/>
    <col min="7" max="7" width="13.5703125" customWidth="1"/>
    <col min="8" max="8" width="19.140625" style="1" customWidth="1"/>
    <col min="9" max="9" width="34.140625" style="2" customWidth="1"/>
    <col min="10" max="10" width="30.85546875" style="1" customWidth="1"/>
    <col min="11" max="11" width="25" customWidth="1"/>
    <col min="12" max="12" width="26.7109375" style="5" customWidth="1"/>
    <col min="13" max="13" width="136" style="6" customWidth="1"/>
    <col min="14" max="14" width="10.85546875" style="7" customWidth="1"/>
    <col min="15" max="15" width="15.7109375" style="6" customWidth="1"/>
    <col min="16" max="16" width="21.7109375" style="7" customWidth="1"/>
    <col min="17" max="17" width="7.140625" customWidth="1"/>
    <col min="18" max="18" width="10.28515625" customWidth="1"/>
    <col min="19" max="19" width="25.85546875" customWidth="1"/>
    <col min="20" max="20" width="16.7109375" customWidth="1"/>
    <col min="21" max="21" width="22" style="6" customWidth="1"/>
    <col min="22" max="22" width="18.85546875" style="8" customWidth="1"/>
    <col min="23" max="23" width="25.28515625" customWidth="1"/>
    <col min="24" max="24" width="28" style="6" customWidth="1"/>
    <col min="25" max="25" width="25.28515625" customWidth="1"/>
    <col min="26" max="26" width="12.140625" customWidth="1"/>
    <col min="27" max="27" width="14.140625" style="8" customWidth="1"/>
    <col min="28" max="28" width="17.5703125" style="6" customWidth="1"/>
    <col min="29" max="29" width="21.42578125" style="6" customWidth="1"/>
    <col min="30" max="30" width="10.85546875" customWidth="1"/>
  </cols>
  <sheetData>
    <row r="1" spans="1:30" ht="51" customHeight="1" x14ac:dyDescent="0.4">
      <c r="A1" s="814" t="s">
        <v>79</v>
      </c>
      <c r="B1" s="814"/>
      <c r="C1" s="814"/>
      <c r="D1" s="814"/>
      <c r="E1" s="814"/>
      <c r="F1" s="814"/>
      <c r="G1" s="814"/>
      <c r="H1" s="814"/>
      <c r="I1" s="814"/>
      <c r="J1" s="814"/>
      <c r="K1" s="814"/>
      <c r="L1" s="814"/>
      <c r="M1" s="147"/>
      <c r="N1" s="148"/>
      <c r="O1" s="147"/>
      <c r="P1" s="148"/>
      <c r="Q1" s="149"/>
      <c r="R1" s="149"/>
      <c r="S1" s="150" t="s">
        <v>70</v>
      </c>
      <c r="T1" s="151">
        <f>C71</f>
        <v>73314880.49239938</v>
      </c>
      <c r="U1" s="147"/>
      <c r="V1" s="152"/>
      <c r="W1" s="153"/>
      <c r="X1" s="147" t="s">
        <v>67</v>
      </c>
      <c r="Y1" s="153" t="e">
        <f>AC43-U43</f>
        <v>#DIV/0!</v>
      </c>
      <c r="Z1" s="154"/>
      <c r="AA1" s="152"/>
      <c r="AB1" s="147"/>
      <c r="AC1" s="147"/>
      <c r="AD1" s="149"/>
    </row>
    <row r="2" spans="1:30" s="12" customFormat="1" ht="32.1" customHeight="1" x14ac:dyDescent="0.4">
      <c r="A2" s="727" t="s">
        <v>1</v>
      </c>
      <c r="B2" s="738" t="s">
        <v>19</v>
      </c>
      <c r="C2" s="727" t="s">
        <v>20</v>
      </c>
      <c r="D2" s="727" t="s">
        <v>21</v>
      </c>
      <c r="E2" s="155" t="s">
        <v>91</v>
      </c>
      <c r="F2" s="155"/>
      <c r="G2" s="155"/>
      <c r="H2" s="155" t="s">
        <v>92</v>
      </c>
      <c r="I2" s="155"/>
      <c r="J2" s="155"/>
      <c r="K2" s="156"/>
      <c r="L2" s="157"/>
      <c r="M2" s="158" t="s">
        <v>41</v>
      </c>
      <c r="N2" s="148" t="s">
        <v>42</v>
      </c>
      <c r="O2" s="147" t="s">
        <v>43</v>
      </c>
      <c r="P2" s="148" t="s">
        <v>44</v>
      </c>
      <c r="Q2" s="149"/>
      <c r="R2" s="149"/>
      <c r="S2" s="150" t="s">
        <v>60</v>
      </c>
      <c r="T2" s="151">
        <f>SUMIF($AD$5:$AD$27,C72,$U$5:$U$27)</f>
        <v>0</v>
      </c>
      <c r="U2" s="159" t="e">
        <f>T1/T2</f>
        <v>#DIV/0!</v>
      </c>
      <c r="V2" s="152"/>
      <c r="W2" s="149"/>
      <c r="X2" s="147" t="s">
        <v>69</v>
      </c>
      <c r="Y2" s="160" t="e">
        <f>T1-Y1</f>
        <v>#DIV/0!</v>
      </c>
      <c r="Z2" s="149"/>
      <c r="AA2" s="152"/>
      <c r="AB2" s="147"/>
      <c r="AC2" s="147"/>
      <c r="AD2" s="149"/>
    </row>
    <row r="3" spans="1:30" s="12" customFormat="1" ht="32.1" customHeight="1" x14ac:dyDescent="0.4">
      <c r="A3" s="728"/>
      <c r="B3" s="739"/>
      <c r="C3" s="728"/>
      <c r="D3" s="728"/>
      <c r="E3" s="161" t="s">
        <v>23</v>
      </c>
      <c r="F3" s="161" t="s">
        <v>2</v>
      </c>
      <c r="G3" s="162" t="s">
        <v>24</v>
      </c>
      <c r="H3" s="163" t="s">
        <v>25</v>
      </c>
      <c r="I3" s="161" t="s">
        <v>23</v>
      </c>
      <c r="J3" s="161" t="s">
        <v>2</v>
      </c>
      <c r="K3" s="161" t="s">
        <v>121</v>
      </c>
      <c r="L3" s="164" t="s">
        <v>22</v>
      </c>
      <c r="M3" s="147"/>
      <c r="N3" s="148"/>
      <c r="O3" s="147"/>
      <c r="P3" s="148" t="s">
        <v>45</v>
      </c>
      <c r="Q3" s="149"/>
      <c r="R3" s="164" t="s">
        <v>61</v>
      </c>
      <c r="S3" s="164" t="s">
        <v>54</v>
      </c>
      <c r="T3" s="164" t="s">
        <v>55</v>
      </c>
      <c r="U3" s="165" t="s">
        <v>2</v>
      </c>
      <c r="V3" s="735" t="s">
        <v>63</v>
      </c>
      <c r="W3" s="731" t="s">
        <v>64</v>
      </c>
      <c r="X3" s="733" t="s">
        <v>62</v>
      </c>
      <c r="Y3" s="719" t="s">
        <v>64</v>
      </c>
      <c r="Z3" s="721" t="s">
        <v>68</v>
      </c>
      <c r="AA3" s="723" t="s">
        <v>65</v>
      </c>
      <c r="AB3" s="725" t="s">
        <v>66</v>
      </c>
      <c r="AC3" s="166" t="s">
        <v>50</v>
      </c>
      <c r="AD3" s="715" t="s">
        <v>56</v>
      </c>
    </row>
    <row r="4" spans="1:30" s="12" customFormat="1" ht="57" customHeight="1" x14ac:dyDescent="0.4">
      <c r="A4" s="167" t="s">
        <v>26</v>
      </c>
      <c r="B4" s="168" t="s">
        <v>48</v>
      </c>
      <c r="C4" s="169"/>
      <c r="D4" s="169"/>
      <c r="E4" s="169"/>
      <c r="F4" s="170">
        <f>SUBTOTAL(9,F5:F14)</f>
        <v>184952727.27272725</v>
      </c>
      <c r="G4" s="169"/>
      <c r="H4" s="171">
        <f>K4/F4</f>
        <v>0.26362559474656921</v>
      </c>
      <c r="I4" s="169"/>
      <c r="J4" s="170">
        <f>SUBTOTAL(9,J5:J14)</f>
        <v>233711000</v>
      </c>
      <c r="K4" s="170">
        <f>SUBTOTAL(9,K5:K14)</f>
        <v>48758272.727272734</v>
      </c>
      <c r="L4" s="172"/>
      <c r="M4" s="147"/>
      <c r="N4" s="148"/>
      <c r="O4" s="147"/>
      <c r="P4" s="148"/>
      <c r="Q4" s="149"/>
      <c r="R4" s="173"/>
      <c r="S4" s="173"/>
      <c r="T4" s="173"/>
      <c r="U4" s="174"/>
      <c r="V4" s="736"/>
      <c r="W4" s="732"/>
      <c r="X4" s="734"/>
      <c r="Y4" s="720"/>
      <c r="Z4" s="722"/>
      <c r="AA4" s="724"/>
      <c r="AB4" s="726"/>
      <c r="AC4" s="175"/>
      <c r="AD4" s="716"/>
    </row>
    <row r="5" spans="1:30" s="10" customFormat="1" ht="50.25" hidden="1" customHeight="1" outlineLevel="1" x14ac:dyDescent="0.25">
      <c r="A5" s="176">
        <f>_xlfn.AGGREGATE(3,5,$B$5:B5)</f>
        <v>0</v>
      </c>
      <c r="B5" s="177" t="s">
        <v>137</v>
      </c>
      <c r="C5" s="178" t="s">
        <v>3</v>
      </c>
      <c r="D5" s="179">
        <v>113</v>
      </c>
      <c r="E5" s="180">
        <v>500000</v>
      </c>
      <c r="F5" s="180">
        <f t="shared" ref="F5:F14" si="0">E5*D5</f>
        <v>56500000</v>
      </c>
      <c r="G5" s="181"/>
      <c r="H5" s="182">
        <f>P5-1</f>
        <v>0.30000000000000004</v>
      </c>
      <c r="I5" s="183">
        <f>ROUNDUP((E5+G5+E5*H5),-3)</f>
        <v>650000</v>
      </c>
      <c r="J5" s="184">
        <f t="shared" ref="J5:J14" si="1">I5*D5</f>
        <v>73450000</v>
      </c>
      <c r="K5" s="184">
        <f t="shared" ref="K5:K14" si="2">J5-F5</f>
        <v>16950000</v>
      </c>
      <c r="L5" s="185"/>
      <c r="M5" s="186">
        <f>1300000/1.1</f>
        <v>1181818.1818181816</v>
      </c>
      <c r="N5" s="187">
        <v>0.45</v>
      </c>
      <c r="O5" s="186">
        <f t="shared" ref="O5:O11" si="3">M5*(1-N5)</f>
        <v>650000</v>
      </c>
      <c r="P5" s="187">
        <f>O5/E5</f>
        <v>1.3</v>
      </c>
      <c r="Q5" s="187">
        <f>E5/M5</f>
        <v>0.42307692307692313</v>
      </c>
      <c r="R5" s="188">
        <f>D5</f>
        <v>113</v>
      </c>
      <c r="S5" s="189">
        <f>E5</f>
        <v>500000</v>
      </c>
      <c r="T5" s="189">
        <f t="shared" ref="T5:T19" si="4">I5</f>
        <v>650000</v>
      </c>
      <c r="U5" s="190">
        <f t="shared" ref="U5:U19" si="5">T5*R5</f>
        <v>73450000</v>
      </c>
      <c r="V5" s="191" t="e">
        <f t="shared" ref="V5:V19" si="6">IF(AD5=1,U5*$U$2/R5+T5,T5)</f>
        <v>#DIV/0!</v>
      </c>
      <c r="W5" s="192" t="e">
        <f>1-T5/V5</f>
        <v>#DIV/0!</v>
      </c>
      <c r="X5" s="193">
        <v>940000</v>
      </c>
      <c r="Y5" s="194">
        <f>IF(X5&lt;&gt;0,1-T5/X5," ")</f>
        <v>0.30851063829787229</v>
      </c>
      <c r="Z5" s="195"/>
      <c r="AA5" s="189">
        <f>IF(Z5&lt;&gt;0,Z5,R5)</f>
        <v>113</v>
      </c>
      <c r="AB5" s="190">
        <f>IF(X5&lt;&gt;0, X5,V5)</f>
        <v>940000</v>
      </c>
      <c r="AC5" s="190">
        <f>AA5*AB5</f>
        <v>106220000</v>
      </c>
      <c r="AD5" s="196">
        <v>1</v>
      </c>
    </row>
    <row r="6" spans="1:30" s="10" customFormat="1" ht="50.25" hidden="1" customHeight="1" outlineLevel="1" x14ac:dyDescent="0.25">
      <c r="A6" s="197">
        <f>_xlfn.AGGREGATE(3,5,$B$5:B6)</f>
        <v>0</v>
      </c>
      <c r="B6" s="198" t="s">
        <v>138</v>
      </c>
      <c r="C6" s="199" t="s">
        <v>3</v>
      </c>
      <c r="D6" s="200">
        <v>14</v>
      </c>
      <c r="E6" s="180">
        <v>500000</v>
      </c>
      <c r="F6" s="201">
        <f t="shared" si="0"/>
        <v>7000000</v>
      </c>
      <c r="G6" s="202"/>
      <c r="H6" s="203">
        <f>P6-1</f>
        <v>0.2645454545454542</v>
      </c>
      <c r="I6" s="183">
        <f t="shared" ref="I6:I11" si="7">ROUNDUP((E6+G6+E6*H6),-3)</f>
        <v>633000</v>
      </c>
      <c r="J6" s="204">
        <f t="shared" si="1"/>
        <v>8862000</v>
      </c>
      <c r="K6" s="204">
        <f t="shared" si="2"/>
        <v>1862000</v>
      </c>
      <c r="L6" s="205"/>
      <c r="M6" s="186">
        <f>1300000/1.1</f>
        <v>1181818.1818181816</v>
      </c>
      <c r="N6" s="206">
        <v>0.46500000000000002</v>
      </c>
      <c r="O6" s="207">
        <f t="shared" si="3"/>
        <v>632272.72727272706</v>
      </c>
      <c r="P6" s="206">
        <f>O6/E6</f>
        <v>1.2645454545454542</v>
      </c>
      <c r="Q6" s="187"/>
      <c r="R6" s="188"/>
      <c r="S6" s="189"/>
      <c r="T6" s="189"/>
      <c r="U6" s="190"/>
      <c r="V6" s="191"/>
      <c r="W6" s="192"/>
      <c r="X6" s="193"/>
      <c r="Y6" s="194"/>
      <c r="Z6" s="195"/>
      <c r="AA6" s="189"/>
      <c r="AB6" s="190"/>
      <c r="AC6" s="190"/>
      <c r="AD6" s="196"/>
    </row>
    <row r="7" spans="1:30" s="10" customFormat="1" ht="50.25" hidden="1" customHeight="1" outlineLevel="1" x14ac:dyDescent="0.25">
      <c r="A7" s="197">
        <f>_xlfn.AGGREGATE(3,5,$B$5:B7)</f>
        <v>0</v>
      </c>
      <c r="B7" s="208" t="s">
        <v>89</v>
      </c>
      <c r="C7" s="199" t="s">
        <v>3</v>
      </c>
      <c r="D7" s="200">
        <v>4</v>
      </c>
      <c r="E7" s="201">
        <f>7500000/1.1</f>
        <v>6818181.8181818174</v>
      </c>
      <c r="F7" s="201">
        <f t="shared" si="0"/>
        <v>27272727.27272727</v>
      </c>
      <c r="G7" s="202"/>
      <c r="H7" s="203">
        <f>P7-1</f>
        <v>0.26844000000000001</v>
      </c>
      <c r="I7" s="183">
        <f t="shared" si="7"/>
        <v>8649000</v>
      </c>
      <c r="J7" s="204">
        <f t="shared" si="1"/>
        <v>34596000</v>
      </c>
      <c r="K7" s="204">
        <f t="shared" si="2"/>
        <v>7323272.7272727303</v>
      </c>
      <c r="L7" s="209"/>
      <c r="M7" s="210">
        <f>16690000/1.1</f>
        <v>15172727.272727272</v>
      </c>
      <c r="N7" s="187">
        <v>0.43</v>
      </c>
      <c r="O7" s="186">
        <f t="shared" si="3"/>
        <v>8648454.5454545449</v>
      </c>
      <c r="P7" s="187">
        <f t="shared" ref="P7:P20" si="8">O7/E7</f>
        <v>1.26844</v>
      </c>
      <c r="Q7" s="187"/>
      <c r="R7" s="188">
        <f t="shared" ref="R7:S11" si="9">D7</f>
        <v>4</v>
      </c>
      <c r="S7" s="189">
        <f t="shared" si="9"/>
        <v>6818181.8181818174</v>
      </c>
      <c r="T7" s="189">
        <f t="shared" si="4"/>
        <v>8649000</v>
      </c>
      <c r="U7" s="190">
        <f t="shared" si="5"/>
        <v>34596000</v>
      </c>
      <c r="V7" s="191" t="e">
        <f t="shared" si="6"/>
        <v>#DIV/0!</v>
      </c>
      <c r="W7" s="192" t="e">
        <f t="shared" ref="W7:W19" si="10">1-T7/V7</f>
        <v>#DIV/0!</v>
      </c>
      <c r="X7" s="193">
        <v>66800000</v>
      </c>
      <c r="Y7" s="194">
        <f t="shared" ref="Y7:Y14" si="11">IF(X7&lt;&gt;0,1-T7/X7," ")</f>
        <v>0.87052395209580835</v>
      </c>
      <c r="Z7" s="195"/>
      <c r="AA7" s="189">
        <f t="shared" ref="AA7:AA14" si="12">IF(Z7&lt;&gt;0,Z7,R7)</f>
        <v>4</v>
      </c>
      <c r="AB7" s="190">
        <f t="shared" ref="AB7:AB14" si="13">IF(X7&lt;&gt;0, X7,V7)</f>
        <v>66800000</v>
      </c>
      <c r="AC7" s="190">
        <f t="shared" ref="AC7:AC14" si="14">AA7*AB7</f>
        <v>267200000</v>
      </c>
      <c r="AD7" s="196">
        <v>1</v>
      </c>
    </row>
    <row r="8" spans="1:30" s="10" customFormat="1" ht="50.25" hidden="1" customHeight="1" outlineLevel="1" thickBot="1" x14ac:dyDescent="0.3">
      <c r="A8" s="197">
        <f>_xlfn.AGGREGATE(3,5,$B$5:B8)</f>
        <v>0</v>
      </c>
      <c r="B8" s="208" t="s">
        <v>74</v>
      </c>
      <c r="C8" s="199" t="s">
        <v>3</v>
      </c>
      <c r="D8" s="200">
        <v>8</v>
      </c>
      <c r="E8" s="201">
        <f>5060000/1.1</f>
        <v>4600000</v>
      </c>
      <c r="F8" s="201">
        <f t="shared" si="0"/>
        <v>36800000</v>
      </c>
      <c r="G8" s="202"/>
      <c r="H8" s="203">
        <v>0.16300000000000001</v>
      </c>
      <c r="I8" s="183">
        <f t="shared" si="7"/>
        <v>5350000</v>
      </c>
      <c r="J8" s="204">
        <f t="shared" si="1"/>
        <v>42800000</v>
      </c>
      <c r="K8" s="204">
        <f t="shared" si="2"/>
        <v>6000000</v>
      </c>
      <c r="L8" s="209"/>
      <c r="M8" s="211">
        <v>5879000</v>
      </c>
      <c r="N8" s="187">
        <v>0.18</v>
      </c>
      <c r="O8" s="186">
        <f t="shared" si="3"/>
        <v>4820780</v>
      </c>
      <c r="P8" s="187">
        <f t="shared" si="8"/>
        <v>1.0479956521739131</v>
      </c>
      <c r="Q8" s="212"/>
      <c r="R8" s="188">
        <f t="shared" si="9"/>
        <v>8</v>
      </c>
      <c r="S8" s="189">
        <f t="shared" si="9"/>
        <v>4600000</v>
      </c>
      <c r="T8" s="189">
        <f t="shared" si="4"/>
        <v>5350000</v>
      </c>
      <c r="U8" s="190">
        <f t="shared" si="5"/>
        <v>42800000</v>
      </c>
      <c r="V8" s="191">
        <f t="shared" si="6"/>
        <v>5350000</v>
      </c>
      <c r="W8" s="192">
        <f t="shared" si="10"/>
        <v>0</v>
      </c>
      <c r="X8" s="193"/>
      <c r="Y8" s="194" t="str">
        <f t="shared" si="11"/>
        <v xml:space="preserve"> </v>
      </c>
      <c r="Z8" s="195"/>
      <c r="AA8" s="189">
        <f t="shared" si="12"/>
        <v>8</v>
      </c>
      <c r="AB8" s="190">
        <f t="shared" si="13"/>
        <v>5350000</v>
      </c>
      <c r="AC8" s="190">
        <f t="shared" si="14"/>
        <v>42800000</v>
      </c>
      <c r="AD8" s="196"/>
    </row>
    <row r="9" spans="1:30" s="10" customFormat="1" ht="50.25" hidden="1" customHeight="1" outlineLevel="1" x14ac:dyDescent="0.25">
      <c r="A9" s="199">
        <f>_xlfn.AGGREGATE(3,5,$B$5:B9)</f>
        <v>0</v>
      </c>
      <c r="B9" s="208" t="s">
        <v>82</v>
      </c>
      <c r="C9" s="199" t="s">
        <v>3</v>
      </c>
      <c r="D9" s="200">
        <v>4</v>
      </c>
      <c r="E9" s="201">
        <v>3750000</v>
      </c>
      <c r="F9" s="201">
        <f t="shared" si="0"/>
        <v>15000000</v>
      </c>
      <c r="G9" s="202"/>
      <c r="H9" s="203">
        <f>P9-1</f>
        <v>0.20632727272727269</v>
      </c>
      <c r="I9" s="183">
        <f t="shared" si="7"/>
        <v>4524000</v>
      </c>
      <c r="J9" s="204">
        <f t="shared" si="1"/>
        <v>18096000</v>
      </c>
      <c r="K9" s="204">
        <f t="shared" si="2"/>
        <v>3096000</v>
      </c>
      <c r="L9" s="209"/>
      <c r="M9" s="186">
        <f>8730000/1.1</f>
        <v>7936363.6363636358</v>
      </c>
      <c r="N9" s="187">
        <v>0.43</v>
      </c>
      <c r="O9" s="186">
        <f t="shared" si="3"/>
        <v>4523727.2727272725</v>
      </c>
      <c r="P9" s="187">
        <f t="shared" si="8"/>
        <v>1.2063272727272727</v>
      </c>
      <c r="Q9" s="212"/>
      <c r="R9" s="188">
        <f t="shared" si="9"/>
        <v>4</v>
      </c>
      <c r="S9" s="189">
        <f t="shared" si="9"/>
        <v>3750000</v>
      </c>
      <c r="T9" s="189">
        <f t="shared" si="4"/>
        <v>4524000</v>
      </c>
      <c r="U9" s="190">
        <f t="shared" si="5"/>
        <v>18096000</v>
      </c>
      <c r="V9" s="191" t="e">
        <f t="shared" si="6"/>
        <v>#DIV/0!</v>
      </c>
      <c r="W9" s="192" t="e">
        <f t="shared" si="10"/>
        <v>#DIV/0!</v>
      </c>
      <c r="X9" s="193">
        <v>8480000</v>
      </c>
      <c r="Y9" s="194">
        <f t="shared" si="11"/>
        <v>0.46650943396226419</v>
      </c>
      <c r="Z9" s="195"/>
      <c r="AA9" s="189">
        <f t="shared" si="12"/>
        <v>4</v>
      </c>
      <c r="AB9" s="190">
        <f t="shared" si="13"/>
        <v>8480000</v>
      </c>
      <c r="AC9" s="190">
        <f t="shared" si="14"/>
        <v>33920000</v>
      </c>
      <c r="AD9" s="196">
        <v>1</v>
      </c>
    </row>
    <row r="10" spans="1:30" s="10" customFormat="1" ht="50.25" hidden="1" customHeight="1" outlineLevel="1" x14ac:dyDescent="0.25">
      <c r="A10" s="199">
        <f>_xlfn.AGGREGATE(3,5,$B$5:B10)</f>
        <v>0</v>
      </c>
      <c r="B10" s="208" t="s">
        <v>148</v>
      </c>
      <c r="C10" s="199" t="s">
        <v>3</v>
      </c>
      <c r="D10" s="200">
        <v>4</v>
      </c>
      <c r="E10" s="201">
        <v>3000000</v>
      </c>
      <c r="F10" s="201">
        <f t="shared" si="0"/>
        <v>12000000</v>
      </c>
      <c r="G10" s="202"/>
      <c r="H10" s="203">
        <f>P10-1</f>
        <v>0.32050000000000023</v>
      </c>
      <c r="I10" s="183">
        <f t="shared" si="7"/>
        <v>3962000</v>
      </c>
      <c r="J10" s="204">
        <f t="shared" si="1"/>
        <v>15848000</v>
      </c>
      <c r="K10" s="204">
        <f t="shared" si="2"/>
        <v>3848000</v>
      </c>
      <c r="L10" s="209"/>
      <c r="M10" s="186">
        <v>6950000</v>
      </c>
      <c r="N10" s="187">
        <v>0.43</v>
      </c>
      <c r="O10" s="186">
        <f t="shared" si="3"/>
        <v>3961500.0000000005</v>
      </c>
      <c r="P10" s="187">
        <f t="shared" si="8"/>
        <v>1.3205000000000002</v>
      </c>
      <c r="Q10" s="212"/>
      <c r="R10" s="188">
        <f t="shared" si="9"/>
        <v>4</v>
      </c>
      <c r="S10" s="189">
        <f t="shared" si="9"/>
        <v>3000000</v>
      </c>
      <c r="T10" s="189">
        <f t="shared" si="4"/>
        <v>3962000</v>
      </c>
      <c r="U10" s="190">
        <f t="shared" si="5"/>
        <v>15848000</v>
      </c>
      <c r="V10" s="191" t="e">
        <f t="shared" si="6"/>
        <v>#DIV/0!</v>
      </c>
      <c r="W10" s="192" t="e">
        <f t="shared" si="10"/>
        <v>#DIV/0!</v>
      </c>
      <c r="X10" s="193">
        <v>6150000</v>
      </c>
      <c r="Y10" s="194">
        <f t="shared" si="11"/>
        <v>0.35577235772357718</v>
      </c>
      <c r="Z10" s="195"/>
      <c r="AA10" s="189">
        <f t="shared" si="12"/>
        <v>4</v>
      </c>
      <c r="AB10" s="190">
        <f t="shared" si="13"/>
        <v>6150000</v>
      </c>
      <c r="AC10" s="190">
        <f t="shared" si="14"/>
        <v>24600000</v>
      </c>
      <c r="AD10" s="196">
        <v>1</v>
      </c>
    </row>
    <row r="11" spans="1:30" s="13" customFormat="1" ht="50.25" hidden="1" customHeight="1" outlineLevel="1" x14ac:dyDescent="0.25">
      <c r="A11" s="199">
        <f>_xlfn.AGGREGATE(3,5,$B$5:B11)</f>
        <v>0</v>
      </c>
      <c r="B11" s="213" t="s">
        <v>75</v>
      </c>
      <c r="C11" s="199" t="s">
        <v>3</v>
      </c>
      <c r="D11" s="200">
        <v>1</v>
      </c>
      <c r="E11" s="201">
        <v>2780000</v>
      </c>
      <c r="F11" s="201">
        <f t="shared" si="0"/>
        <v>2780000</v>
      </c>
      <c r="G11" s="214"/>
      <c r="H11" s="203">
        <v>0.25</v>
      </c>
      <c r="I11" s="183">
        <f t="shared" si="7"/>
        <v>3475000</v>
      </c>
      <c r="J11" s="204">
        <f t="shared" si="1"/>
        <v>3475000</v>
      </c>
      <c r="K11" s="204">
        <f t="shared" si="2"/>
        <v>695000</v>
      </c>
      <c r="L11" s="209"/>
      <c r="M11" s="210">
        <v>1499000</v>
      </c>
      <c r="N11" s="215">
        <v>0.05</v>
      </c>
      <c r="O11" s="210">
        <f t="shared" si="3"/>
        <v>1424050</v>
      </c>
      <c r="P11" s="215">
        <f t="shared" si="8"/>
        <v>0.51224820143884897</v>
      </c>
      <c r="Q11" s="216"/>
      <c r="R11" s="188">
        <f t="shared" si="9"/>
        <v>1</v>
      </c>
      <c r="S11" s="189">
        <f t="shared" si="9"/>
        <v>2780000</v>
      </c>
      <c r="T11" s="189">
        <f t="shared" si="4"/>
        <v>3475000</v>
      </c>
      <c r="U11" s="190">
        <f t="shared" si="5"/>
        <v>3475000</v>
      </c>
      <c r="V11" s="191" t="e">
        <f t="shared" si="6"/>
        <v>#DIV/0!</v>
      </c>
      <c r="W11" s="192" t="e">
        <f t="shared" si="10"/>
        <v>#DIV/0!</v>
      </c>
      <c r="X11" s="193">
        <v>2150000</v>
      </c>
      <c r="Y11" s="194">
        <f t="shared" si="11"/>
        <v>-0.61627906976744184</v>
      </c>
      <c r="Z11" s="195"/>
      <c r="AA11" s="189">
        <f t="shared" si="12"/>
        <v>1</v>
      </c>
      <c r="AB11" s="190">
        <f t="shared" si="13"/>
        <v>2150000</v>
      </c>
      <c r="AC11" s="190">
        <f t="shared" si="14"/>
        <v>2150000</v>
      </c>
      <c r="AD11" s="217">
        <v>1</v>
      </c>
    </row>
    <row r="12" spans="1:30" s="10" customFormat="1" ht="50.25" hidden="1" customHeight="1" outlineLevel="1" x14ac:dyDescent="0.25">
      <c r="A12" s="197">
        <f>_xlfn.AGGREGATE(3,5,$B$5:B12)</f>
        <v>0</v>
      </c>
      <c r="B12" s="218" t="s">
        <v>78</v>
      </c>
      <c r="C12" s="197" t="s">
        <v>3</v>
      </c>
      <c r="D12" s="219">
        <v>4</v>
      </c>
      <c r="E12" s="201">
        <v>6200000</v>
      </c>
      <c r="F12" s="201">
        <f t="shared" si="0"/>
        <v>24800000</v>
      </c>
      <c r="G12" s="202"/>
      <c r="H12" s="203">
        <v>0.28999999999999998</v>
      </c>
      <c r="I12" s="183">
        <f>ROUNDUP((E12+G12+E12*H12),-3)</f>
        <v>7998000</v>
      </c>
      <c r="J12" s="204">
        <f t="shared" si="1"/>
        <v>31992000</v>
      </c>
      <c r="K12" s="204">
        <f t="shared" si="2"/>
        <v>7192000</v>
      </c>
      <c r="L12" s="205"/>
      <c r="M12" s="186"/>
      <c r="N12" s="187"/>
      <c r="O12" s="186"/>
      <c r="P12" s="187"/>
      <c r="Q12" s="212"/>
      <c r="R12" s="188">
        <f t="shared" ref="R12:S14" si="15">D12</f>
        <v>4</v>
      </c>
      <c r="S12" s="189">
        <f t="shared" si="15"/>
        <v>6200000</v>
      </c>
      <c r="T12" s="189">
        <f>I12</f>
        <v>7998000</v>
      </c>
      <c r="U12" s="190">
        <f>T12*R12</f>
        <v>31992000</v>
      </c>
      <c r="V12" s="191" t="e">
        <f>IF(AD12=1,U12*$U$2/R12+T12,T12)</f>
        <v>#DIV/0!</v>
      </c>
      <c r="W12" s="192" t="e">
        <f>1-T12/V12</f>
        <v>#DIV/0!</v>
      </c>
      <c r="X12" s="193">
        <v>500000</v>
      </c>
      <c r="Y12" s="194">
        <f t="shared" si="11"/>
        <v>-14.996</v>
      </c>
      <c r="Z12" s="196"/>
      <c r="AA12" s="189">
        <f t="shared" si="12"/>
        <v>4</v>
      </c>
      <c r="AB12" s="190">
        <f t="shared" si="13"/>
        <v>500000</v>
      </c>
      <c r="AC12" s="190">
        <f t="shared" si="14"/>
        <v>2000000</v>
      </c>
      <c r="AD12" s="196">
        <v>1</v>
      </c>
    </row>
    <row r="13" spans="1:30" s="13" customFormat="1" ht="50.25" hidden="1" customHeight="1" outlineLevel="1" x14ac:dyDescent="0.25">
      <c r="A13" s="197">
        <f>_xlfn.AGGREGATE(3,5,$B$5:B13)</f>
        <v>0</v>
      </c>
      <c r="B13" s="218" t="str">
        <f>[15]BOq!B26</f>
        <v>Khung kệ tivi</v>
      </c>
      <c r="C13" s="197" t="s">
        <v>3</v>
      </c>
      <c r="D13" s="200">
        <v>4</v>
      </c>
      <c r="E13" s="201">
        <v>300000</v>
      </c>
      <c r="F13" s="201">
        <f t="shared" si="0"/>
        <v>1200000</v>
      </c>
      <c r="G13" s="214"/>
      <c r="H13" s="220">
        <v>0.65999999999999992</v>
      </c>
      <c r="I13" s="183">
        <f>ROUNDUP((E13+G13+E13*H13),-3)</f>
        <v>498000</v>
      </c>
      <c r="J13" s="204">
        <f t="shared" si="1"/>
        <v>1992000</v>
      </c>
      <c r="K13" s="204">
        <f t="shared" si="2"/>
        <v>792000</v>
      </c>
      <c r="L13" s="209"/>
      <c r="M13" s="210"/>
      <c r="N13" s="215"/>
      <c r="O13" s="210"/>
      <c r="P13" s="215">
        <f>O13/E13</f>
        <v>0</v>
      </c>
      <c r="Q13" s="216"/>
      <c r="R13" s="221">
        <f t="shared" si="15"/>
        <v>4</v>
      </c>
      <c r="S13" s="189">
        <f t="shared" si="15"/>
        <v>300000</v>
      </c>
      <c r="T13" s="189">
        <f>I13</f>
        <v>498000</v>
      </c>
      <c r="U13" s="190">
        <f>T13*R13</f>
        <v>1992000</v>
      </c>
      <c r="V13" s="191" t="e">
        <f>IF(AD13=1,U13*$U$2/R13+T13,T13)</f>
        <v>#DIV/0!</v>
      </c>
      <c r="W13" s="192" t="e">
        <f>1-T13/V13</f>
        <v>#DIV/0!</v>
      </c>
      <c r="X13" s="193"/>
      <c r="Y13" s="194" t="str">
        <f t="shared" si="11"/>
        <v xml:space="preserve"> </v>
      </c>
      <c r="Z13" s="222">
        <v>600</v>
      </c>
      <c r="AA13" s="189">
        <f t="shared" si="12"/>
        <v>600</v>
      </c>
      <c r="AB13" s="190" t="e">
        <f t="shared" si="13"/>
        <v>#DIV/0!</v>
      </c>
      <c r="AC13" s="190" t="e">
        <f t="shared" si="14"/>
        <v>#DIV/0!</v>
      </c>
      <c r="AD13" s="217">
        <v>1</v>
      </c>
    </row>
    <row r="14" spans="1:30" s="10" customFormat="1" ht="50.25" hidden="1" customHeight="1" outlineLevel="1" x14ac:dyDescent="0.25">
      <c r="A14" s="223">
        <f>_xlfn.AGGREGATE(3,5,$B$5:B14)</f>
        <v>0</v>
      </c>
      <c r="B14" s="224" t="str">
        <f>[15]BOq!B27</f>
        <v>Cáp HDMI 15m Unitek</v>
      </c>
      <c r="C14" s="225" t="s">
        <v>5</v>
      </c>
      <c r="D14" s="226">
        <v>4</v>
      </c>
      <c r="E14" s="227">
        <v>400000</v>
      </c>
      <c r="F14" s="227">
        <f t="shared" si="0"/>
        <v>1600000</v>
      </c>
      <c r="G14" s="228"/>
      <c r="H14" s="220">
        <v>0.625</v>
      </c>
      <c r="I14" s="183">
        <f>ROUNDUP((E14+G14+E14*H14),-3)</f>
        <v>650000</v>
      </c>
      <c r="J14" s="229">
        <f t="shared" si="1"/>
        <v>2600000</v>
      </c>
      <c r="K14" s="229">
        <f t="shared" si="2"/>
        <v>1000000</v>
      </c>
      <c r="L14" s="230"/>
      <c r="M14" s="186">
        <f>3475000/305</f>
        <v>11393.442622950819</v>
      </c>
      <c r="N14" s="187">
        <v>0.1</v>
      </c>
      <c r="O14" s="210">
        <f>M14*(1-N14)</f>
        <v>10254.098360655737</v>
      </c>
      <c r="P14" s="215">
        <f>O14/E14</f>
        <v>2.5635245901639341E-2</v>
      </c>
      <c r="Q14" s="231"/>
      <c r="R14" s="188">
        <f t="shared" si="15"/>
        <v>4</v>
      </c>
      <c r="S14" s="189">
        <f t="shared" si="15"/>
        <v>400000</v>
      </c>
      <c r="T14" s="189">
        <f>I14</f>
        <v>650000</v>
      </c>
      <c r="U14" s="190">
        <f>T14*R14</f>
        <v>2600000</v>
      </c>
      <c r="V14" s="191">
        <f>IF(AD14=1,U14*$U$2/R14+T14,T14)</f>
        <v>650000</v>
      </c>
      <c r="W14" s="192">
        <f>1-T14/V14</f>
        <v>0</v>
      </c>
      <c r="X14" s="193"/>
      <c r="Y14" s="194" t="str">
        <f t="shared" si="11"/>
        <v xml:space="preserve"> </v>
      </c>
      <c r="Z14" s="232">
        <v>3200</v>
      </c>
      <c r="AA14" s="189">
        <f t="shared" si="12"/>
        <v>3200</v>
      </c>
      <c r="AB14" s="190">
        <f t="shared" si="13"/>
        <v>650000</v>
      </c>
      <c r="AC14" s="190">
        <f t="shared" si="14"/>
        <v>2080000000</v>
      </c>
      <c r="AD14" s="196"/>
    </row>
    <row r="15" spans="1:30" ht="50.25" customHeight="1" collapsed="1" x14ac:dyDescent="0.4">
      <c r="A15" s="233" t="s">
        <v>86</v>
      </c>
      <c r="B15" s="234" t="s">
        <v>87</v>
      </c>
      <c r="C15" s="235"/>
      <c r="D15" s="235"/>
      <c r="E15" s="235"/>
      <c r="F15" s="236">
        <f>SUBTOTAL(9,F16:F22)</f>
        <v>48256885.245901644</v>
      </c>
      <c r="G15" s="235"/>
      <c r="H15" s="237">
        <f>K15/F15</f>
        <v>0.78453291299636152</v>
      </c>
      <c r="I15" s="235"/>
      <c r="J15" s="238">
        <f>SUBTOTAL(9,J16:J22)</f>
        <v>86116000</v>
      </c>
      <c r="K15" s="238">
        <f>SUBTOTAL(9,K16:K22)</f>
        <v>37859114.754098356</v>
      </c>
      <c r="L15" s="239"/>
      <c r="M15" s="147"/>
      <c r="N15" s="148"/>
      <c r="O15" s="147"/>
      <c r="P15" s="148"/>
      <c r="Q15" s="149"/>
      <c r="R15" s="149"/>
      <c r="S15" s="149"/>
      <c r="T15" s="149"/>
      <c r="U15" s="149"/>
      <c r="V15" s="149"/>
      <c r="W15" s="149"/>
      <c r="X15" s="149"/>
      <c r="Y15" s="149"/>
      <c r="Z15" s="149"/>
      <c r="AA15" s="149"/>
      <c r="AB15" s="149"/>
      <c r="AC15" s="149"/>
      <c r="AD15" s="149"/>
    </row>
    <row r="16" spans="1:30" s="10" customFormat="1" ht="50.25" hidden="1" customHeight="1" outlineLevel="1" x14ac:dyDescent="0.25">
      <c r="A16" s="240">
        <v>1</v>
      </c>
      <c r="B16" s="241" t="s">
        <v>139</v>
      </c>
      <c r="C16" s="199" t="s">
        <v>4</v>
      </c>
      <c r="D16" s="242">
        <v>400</v>
      </c>
      <c r="E16" s="243">
        <v>2300</v>
      </c>
      <c r="F16" s="243">
        <f t="shared" ref="F16:F22" si="16">E16*D16</f>
        <v>920000</v>
      </c>
      <c r="G16" s="244"/>
      <c r="H16" s="245">
        <v>1.4</v>
      </c>
      <c r="I16" s="246">
        <f>ROUNDUP((E16+G16+E16*H16),-2)</f>
        <v>5600</v>
      </c>
      <c r="J16" s="247">
        <f t="shared" ref="J16:J22" si="17">I16*D16</f>
        <v>2240000</v>
      </c>
      <c r="K16" s="247">
        <f t="shared" ref="K16:K22" si="18">J16-F16</f>
        <v>1320000</v>
      </c>
      <c r="L16" s="248"/>
      <c r="M16" s="186"/>
      <c r="N16" s="187"/>
      <c r="O16" s="186"/>
      <c r="P16" s="215">
        <f>O16/E16</f>
        <v>0</v>
      </c>
      <c r="Q16" s="212"/>
      <c r="R16" s="188">
        <f t="shared" ref="R16:S18" si="19">D16</f>
        <v>400</v>
      </c>
      <c r="S16" s="189">
        <f t="shared" si="19"/>
        <v>2300</v>
      </c>
      <c r="T16" s="189">
        <f>I16</f>
        <v>5600</v>
      </c>
      <c r="U16" s="190">
        <f>T16*R16</f>
        <v>2240000</v>
      </c>
      <c r="V16" s="191" t="e">
        <f>IF(AD16=1,U16*$U$2/R16+T16,T16)</f>
        <v>#DIV/0!</v>
      </c>
      <c r="W16" s="192" t="e">
        <f>1-T16/V16</f>
        <v>#DIV/0!</v>
      </c>
      <c r="X16" s="193">
        <v>34000</v>
      </c>
      <c r="Y16" s="194">
        <f>IF(X16&lt;&gt;0,1-T16/X16," ")</f>
        <v>0.83529411764705885</v>
      </c>
      <c r="Z16" s="195"/>
      <c r="AA16" s="189">
        <f t="shared" ref="AA16:AA22" si="20">IF(Z16&lt;&gt;0,Z16,R16)</f>
        <v>400</v>
      </c>
      <c r="AB16" s="190">
        <f>IF(X16&lt;&gt;0, X16,V16)</f>
        <v>34000</v>
      </c>
      <c r="AC16" s="190">
        <f>AA16*AB16</f>
        <v>13600000</v>
      </c>
      <c r="AD16" s="196">
        <v>1</v>
      </c>
    </row>
    <row r="17" spans="1:30" s="10" customFormat="1" ht="50.25" hidden="1" customHeight="1" outlineLevel="1" x14ac:dyDescent="0.25">
      <c r="A17" s="197">
        <v>2</v>
      </c>
      <c r="B17" s="208" t="s">
        <v>140</v>
      </c>
      <c r="C17" s="199" t="s">
        <v>4</v>
      </c>
      <c r="D17" s="200">
        <v>7300</v>
      </c>
      <c r="E17" s="201">
        <v>4655.7377049180332</v>
      </c>
      <c r="F17" s="201">
        <f t="shared" si="16"/>
        <v>33986885.245901644</v>
      </c>
      <c r="G17" s="202"/>
      <c r="H17" s="203">
        <v>0.92</v>
      </c>
      <c r="I17" s="183">
        <f>ROUNDUP((E17+G17+E17*H17),-2)</f>
        <v>9000</v>
      </c>
      <c r="J17" s="204">
        <f t="shared" si="17"/>
        <v>65700000</v>
      </c>
      <c r="K17" s="204">
        <f t="shared" si="18"/>
        <v>31713114.754098356</v>
      </c>
      <c r="L17" s="205"/>
      <c r="M17" s="186"/>
      <c r="N17" s="187"/>
      <c r="O17" s="186"/>
      <c r="P17" s="187"/>
      <c r="Q17" s="212"/>
      <c r="R17" s="188">
        <f t="shared" si="19"/>
        <v>7300</v>
      </c>
      <c r="S17" s="189">
        <f t="shared" si="19"/>
        <v>4655.7377049180332</v>
      </c>
      <c r="T17" s="189">
        <f>I17</f>
        <v>9000</v>
      </c>
      <c r="U17" s="190">
        <f>T17*R17</f>
        <v>65700000</v>
      </c>
      <c r="V17" s="191">
        <f>IF(AD17=1,U17*$U$2/R17+T17,T17)</f>
        <v>9000</v>
      </c>
      <c r="W17" s="192">
        <f>1-T17/V17</f>
        <v>0</v>
      </c>
      <c r="X17" s="193">
        <v>1050000</v>
      </c>
      <c r="Y17" s="194">
        <f>IF(X17&lt;&gt;0,1-T17/X17," ")</f>
        <v>0.99142857142857144</v>
      </c>
      <c r="Z17" s="195"/>
      <c r="AA17" s="189">
        <f t="shared" si="20"/>
        <v>7300</v>
      </c>
      <c r="AB17" s="190">
        <f>IF(X17&lt;&gt;0, X17,V17)</f>
        <v>1050000</v>
      </c>
      <c r="AC17" s="190">
        <f>AA17*AB17</f>
        <v>7665000000</v>
      </c>
      <c r="AD17" s="196"/>
    </row>
    <row r="18" spans="1:30" s="13" customFormat="1" ht="50.25" hidden="1" customHeight="1" outlineLevel="1" x14ac:dyDescent="0.25">
      <c r="A18" s="199">
        <v>3</v>
      </c>
      <c r="B18" s="208" t="s">
        <v>52</v>
      </c>
      <c r="C18" s="199" t="s">
        <v>7</v>
      </c>
      <c r="D18" s="200">
        <v>4</v>
      </c>
      <c r="E18" s="201">
        <v>600000</v>
      </c>
      <c r="F18" s="201">
        <f t="shared" si="16"/>
        <v>2400000</v>
      </c>
      <c r="G18" s="214"/>
      <c r="H18" s="203">
        <v>0.8</v>
      </c>
      <c r="I18" s="183">
        <f>ROUNDUP((E18+G18+E18*H18),-3)</f>
        <v>1080000</v>
      </c>
      <c r="J18" s="204">
        <f t="shared" si="17"/>
        <v>4320000</v>
      </c>
      <c r="K18" s="204">
        <f t="shared" si="18"/>
        <v>1920000</v>
      </c>
      <c r="L18" s="209"/>
      <c r="M18" s="249"/>
      <c r="N18" s="215"/>
      <c r="O18" s="210">
        <f>M18*(1-N18)</f>
        <v>0</v>
      </c>
      <c r="P18" s="215">
        <f>O18/E18</f>
        <v>0</v>
      </c>
      <c r="Q18" s="216"/>
      <c r="R18" s="188">
        <f t="shared" si="19"/>
        <v>4</v>
      </c>
      <c r="S18" s="189">
        <f t="shared" si="19"/>
        <v>600000</v>
      </c>
      <c r="T18" s="189">
        <f>I18</f>
        <v>1080000</v>
      </c>
      <c r="U18" s="190">
        <f>T18*R18</f>
        <v>4320000</v>
      </c>
      <c r="V18" s="191" t="e">
        <f>IF(AD18=1,U18*$U$2/R18+T18,T18)</f>
        <v>#DIV/0!</v>
      </c>
      <c r="W18" s="192" t="e">
        <f>1-T18/V18</f>
        <v>#DIV/0!</v>
      </c>
      <c r="X18" s="193"/>
      <c r="Y18" s="194" t="str">
        <f>IF(X18&lt;&gt;0,1-T18/X18," ")</f>
        <v xml:space="preserve"> </v>
      </c>
      <c r="Z18" s="195"/>
      <c r="AA18" s="189">
        <f t="shared" si="20"/>
        <v>4</v>
      </c>
      <c r="AB18" s="190" t="e">
        <f>IF(X18&lt;&gt;0, X18,V18)</f>
        <v>#DIV/0!</v>
      </c>
      <c r="AC18" s="190" t="e">
        <f>AA18*AB18</f>
        <v>#DIV/0!</v>
      </c>
      <c r="AD18" s="217">
        <v>1</v>
      </c>
    </row>
    <row r="19" spans="1:30" s="10" customFormat="1" ht="50.25" hidden="1" customHeight="1" outlineLevel="1" x14ac:dyDescent="0.25">
      <c r="A19" s="199">
        <v>4</v>
      </c>
      <c r="B19" s="208" t="s">
        <v>80</v>
      </c>
      <c r="C19" s="199" t="s">
        <v>3</v>
      </c>
      <c r="D19" s="200">
        <v>2</v>
      </c>
      <c r="E19" s="201">
        <v>700000</v>
      </c>
      <c r="F19" s="201">
        <f t="shared" si="16"/>
        <v>1400000</v>
      </c>
      <c r="G19" s="202"/>
      <c r="H19" s="203">
        <v>0.45</v>
      </c>
      <c r="I19" s="183">
        <f>ROUNDUP((E19+G19+E19*H19),-3)</f>
        <v>1015000</v>
      </c>
      <c r="J19" s="204">
        <f t="shared" si="17"/>
        <v>2030000</v>
      </c>
      <c r="K19" s="204">
        <f t="shared" si="18"/>
        <v>630000</v>
      </c>
      <c r="L19" s="205"/>
      <c r="M19" s="186">
        <v>2300000</v>
      </c>
      <c r="N19" s="187">
        <v>0.25</v>
      </c>
      <c r="O19" s="210">
        <f>M19*(1-N19)</f>
        <v>1725000</v>
      </c>
      <c r="P19" s="215">
        <f t="shared" si="8"/>
        <v>2.4642857142857144</v>
      </c>
      <c r="Q19" s="212"/>
      <c r="R19" s="188">
        <f t="shared" ref="R19:S21" si="21">D19</f>
        <v>2</v>
      </c>
      <c r="S19" s="189">
        <f t="shared" si="21"/>
        <v>700000</v>
      </c>
      <c r="T19" s="189">
        <f t="shared" si="4"/>
        <v>1015000</v>
      </c>
      <c r="U19" s="190">
        <f t="shared" si="5"/>
        <v>2030000</v>
      </c>
      <c r="V19" s="191" t="e">
        <f t="shared" si="6"/>
        <v>#DIV/0!</v>
      </c>
      <c r="W19" s="192" t="e">
        <f t="shared" si="10"/>
        <v>#DIV/0!</v>
      </c>
      <c r="X19" s="193">
        <v>2590000</v>
      </c>
      <c r="Y19" s="194">
        <f>IF(X19&lt;&gt;0,1-T19/X19," ")</f>
        <v>0.60810810810810811</v>
      </c>
      <c r="Z19" s="195"/>
      <c r="AA19" s="189">
        <f t="shared" si="20"/>
        <v>2</v>
      </c>
      <c r="AB19" s="190">
        <f>IF(X19&lt;&gt;0, X19,V19)</f>
        <v>2590000</v>
      </c>
      <c r="AC19" s="190">
        <f>AA19*AB19</f>
        <v>5180000</v>
      </c>
      <c r="AD19" s="196">
        <v>1</v>
      </c>
    </row>
    <row r="20" spans="1:30" s="10" customFormat="1" ht="50.25" hidden="1" customHeight="1" outlineLevel="1" x14ac:dyDescent="0.25">
      <c r="A20" s="199">
        <v>5</v>
      </c>
      <c r="B20" s="208" t="s">
        <v>76</v>
      </c>
      <c r="C20" s="199" t="s">
        <v>3</v>
      </c>
      <c r="D20" s="200">
        <v>2</v>
      </c>
      <c r="E20" s="201">
        <v>1400000</v>
      </c>
      <c r="F20" s="201">
        <f t="shared" si="16"/>
        <v>2800000</v>
      </c>
      <c r="G20" s="202"/>
      <c r="H20" s="203">
        <v>0.17</v>
      </c>
      <c r="I20" s="183">
        <f>ROUNDUP((E20+G20+E20*H20),-3)</f>
        <v>1638000</v>
      </c>
      <c r="J20" s="204">
        <f t="shared" si="17"/>
        <v>3276000</v>
      </c>
      <c r="K20" s="204">
        <f t="shared" si="18"/>
        <v>476000</v>
      </c>
      <c r="L20" s="205"/>
      <c r="M20" s="186">
        <v>2300000</v>
      </c>
      <c r="N20" s="187">
        <v>0.25</v>
      </c>
      <c r="O20" s="210">
        <f>M20*(1-N20)</f>
        <v>1725000</v>
      </c>
      <c r="P20" s="215">
        <f t="shared" si="8"/>
        <v>1.2321428571428572</v>
      </c>
      <c r="Q20" s="212"/>
      <c r="R20" s="188">
        <f t="shared" si="21"/>
        <v>2</v>
      </c>
      <c r="S20" s="189">
        <f t="shared" si="21"/>
        <v>1400000</v>
      </c>
      <c r="T20" s="189">
        <f>I20</f>
        <v>1638000</v>
      </c>
      <c r="U20" s="190">
        <f>T20*R20</f>
        <v>3276000</v>
      </c>
      <c r="V20" s="191" t="e">
        <f>IF(AD20=1,U20*$U$2/R20+T20,T20)</f>
        <v>#DIV/0!</v>
      </c>
      <c r="W20" s="192" t="e">
        <f>1-T20/V20</f>
        <v>#DIV/0!</v>
      </c>
      <c r="X20" s="193">
        <v>2590000</v>
      </c>
      <c r="Y20" s="194">
        <f>IF(X20&lt;&gt;0,1-T20/X20," ")</f>
        <v>0.36756756756756759</v>
      </c>
      <c r="Z20" s="195"/>
      <c r="AA20" s="189">
        <f t="shared" si="20"/>
        <v>2</v>
      </c>
      <c r="AB20" s="190">
        <f>IF(X20&lt;&gt;0, X20,V20)</f>
        <v>2590000</v>
      </c>
      <c r="AC20" s="190">
        <f>AA20*AB20</f>
        <v>5180000</v>
      </c>
      <c r="AD20" s="196">
        <v>1</v>
      </c>
    </row>
    <row r="21" spans="1:30" s="10" customFormat="1" ht="50.25" hidden="1" customHeight="1" outlineLevel="1" x14ac:dyDescent="0.25">
      <c r="A21" s="199">
        <v>6</v>
      </c>
      <c r="B21" s="208" t="s">
        <v>81</v>
      </c>
      <c r="C21" s="199" t="s">
        <v>3</v>
      </c>
      <c r="D21" s="200">
        <v>1</v>
      </c>
      <c r="E21" s="201">
        <v>6300000</v>
      </c>
      <c r="F21" s="201">
        <f t="shared" si="16"/>
        <v>6300000</v>
      </c>
      <c r="G21" s="202"/>
      <c r="H21" s="203">
        <v>0.25</v>
      </c>
      <c r="I21" s="183">
        <f>ROUNDUP((E21+G21+E21*H21),-3)</f>
        <v>7875000</v>
      </c>
      <c r="J21" s="204">
        <f t="shared" si="17"/>
        <v>7875000</v>
      </c>
      <c r="K21" s="204">
        <f t="shared" si="18"/>
        <v>1575000</v>
      </c>
      <c r="L21" s="205"/>
      <c r="M21" s="186">
        <f>I21/32</f>
        <v>246093.75</v>
      </c>
      <c r="N21" s="187"/>
      <c r="O21" s="210"/>
      <c r="P21" s="215"/>
      <c r="Q21" s="212"/>
      <c r="R21" s="188">
        <f t="shared" si="21"/>
        <v>1</v>
      </c>
      <c r="S21" s="189">
        <f t="shared" si="21"/>
        <v>6300000</v>
      </c>
      <c r="T21" s="189"/>
      <c r="U21" s="190"/>
      <c r="V21" s="191"/>
      <c r="W21" s="192"/>
      <c r="X21" s="193"/>
      <c r="Y21" s="194"/>
      <c r="Z21" s="195"/>
      <c r="AA21" s="189">
        <f t="shared" si="20"/>
        <v>1</v>
      </c>
      <c r="AB21" s="190"/>
      <c r="AC21" s="190"/>
      <c r="AD21" s="196"/>
    </row>
    <row r="22" spans="1:30" s="10" customFormat="1" ht="50.25" hidden="1" customHeight="1" outlineLevel="1" x14ac:dyDescent="0.25">
      <c r="A22" s="223">
        <v>7</v>
      </c>
      <c r="B22" s="250" t="s">
        <v>83</v>
      </c>
      <c r="C22" s="251" t="s">
        <v>3</v>
      </c>
      <c r="D22" s="226">
        <v>1</v>
      </c>
      <c r="E22" s="227">
        <v>450000</v>
      </c>
      <c r="F22" s="227">
        <f t="shared" si="16"/>
        <v>450000</v>
      </c>
      <c r="G22" s="228"/>
      <c r="H22" s="220">
        <v>0.5</v>
      </c>
      <c r="I22" s="252">
        <f>ROUNDUP((E22+G22+E22*H22),-3)</f>
        <v>675000</v>
      </c>
      <c r="J22" s="229">
        <f t="shared" si="17"/>
        <v>675000</v>
      </c>
      <c r="K22" s="229">
        <f t="shared" si="18"/>
        <v>225000</v>
      </c>
      <c r="L22" s="253"/>
      <c r="M22" s="254"/>
      <c r="N22" s="187"/>
      <c r="O22" s="186"/>
      <c r="P22" s="187"/>
      <c r="Q22" s="212"/>
      <c r="R22" s="188">
        <f>D22</f>
        <v>1</v>
      </c>
      <c r="S22" s="189"/>
      <c r="T22" s="189"/>
      <c r="U22" s="190"/>
      <c r="V22" s="191"/>
      <c r="W22" s="192"/>
      <c r="X22" s="193"/>
      <c r="Y22" s="194"/>
      <c r="Z22" s="195"/>
      <c r="AA22" s="189">
        <f t="shared" si="20"/>
        <v>1</v>
      </c>
      <c r="AB22" s="190"/>
      <c r="AC22" s="190"/>
      <c r="AD22" s="196"/>
    </row>
    <row r="23" spans="1:30" s="15" customFormat="1" ht="41.25" customHeight="1" collapsed="1" x14ac:dyDescent="0.25">
      <c r="A23" s="255" t="s">
        <v>172</v>
      </c>
      <c r="B23" s="256" t="s">
        <v>173</v>
      </c>
      <c r="C23" s="257"/>
      <c r="D23" s="258"/>
      <c r="E23" s="259"/>
      <c r="F23" s="238">
        <f>SUBTOTAL(9,F24:F25)</f>
        <v>5760000</v>
      </c>
      <c r="G23" s="260"/>
      <c r="H23" s="261">
        <f>K23/SUM(F23:F23)</f>
        <v>0.10416666666666667</v>
      </c>
      <c r="I23" s="262"/>
      <c r="J23" s="238">
        <f>SUBTOTAL(9,J24:J25)</f>
        <v>6360000</v>
      </c>
      <c r="K23" s="238">
        <f>SUBTOTAL(9,K24:K25)</f>
        <v>600000</v>
      </c>
      <c r="L23" s="263"/>
      <c r="M23" s="264"/>
      <c r="N23" s="265"/>
      <c r="O23" s="266"/>
      <c r="P23" s="267"/>
      <c r="Q23" s="268"/>
      <c r="R23" s="269"/>
      <c r="S23" s="269"/>
      <c r="T23" s="270"/>
      <c r="U23" s="271"/>
      <c r="V23" s="272"/>
      <c r="W23" s="273"/>
      <c r="X23" s="274"/>
      <c r="Y23" s="275"/>
      <c r="Z23" s="269"/>
      <c r="AA23" s="270"/>
      <c r="AB23" s="270"/>
      <c r="AC23" s="275"/>
      <c r="AD23" s="267"/>
    </row>
    <row r="24" spans="1:30" s="14" customFormat="1" ht="41.25" hidden="1" customHeight="1" outlineLevel="1" x14ac:dyDescent="0.25">
      <c r="A24" s="240">
        <v>1</v>
      </c>
      <c r="B24" s="241" t="s">
        <v>141</v>
      </c>
      <c r="C24" s="276" t="s">
        <v>4</v>
      </c>
      <c r="D24" s="242">
        <v>150</v>
      </c>
      <c r="E24" s="277">
        <v>20000</v>
      </c>
      <c r="F24" s="277">
        <f>E24*D24</f>
        <v>3000000</v>
      </c>
      <c r="G24" s="278"/>
      <c r="H24" s="279">
        <v>0.09</v>
      </c>
      <c r="I24" s="246">
        <f>ROUNDUP((E24+G24+E24*H24),-2)</f>
        <v>21800</v>
      </c>
      <c r="J24" s="280">
        <f>I24*D24</f>
        <v>3270000</v>
      </c>
      <c r="K24" s="280">
        <f>J24-F24</f>
        <v>270000</v>
      </c>
      <c r="L24" s="281"/>
      <c r="M24" s="186">
        <f>2800/305</f>
        <v>9.1803278688524586</v>
      </c>
      <c r="N24" s="187"/>
      <c r="O24" s="186"/>
      <c r="P24" s="187"/>
      <c r="Q24" s="212"/>
      <c r="R24" s="188">
        <f>D24</f>
        <v>150</v>
      </c>
      <c r="S24" s="189">
        <f>E24</f>
        <v>20000</v>
      </c>
      <c r="T24" s="189">
        <f>I24</f>
        <v>21800</v>
      </c>
      <c r="U24" s="190">
        <f>T24*R24</f>
        <v>3270000</v>
      </c>
      <c r="V24" s="191" t="e">
        <f>IF(AD24=1,U24*$U$2/R24+T24,T24)</f>
        <v>#DIV/0!</v>
      </c>
      <c r="W24" s="192" t="e">
        <f>1-T24/V24</f>
        <v>#DIV/0!</v>
      </c>
      <c r="X24" s="193">
        <v>5000</v>
      </c>
      <c r="Y24" s="194">
        <f>IF(X24&lt;&gt;0,1-T24/X24," ")</f>
        <v>-3.3600000000000003</v>
      </c>
      <c r="Z24" s="222">
        <v>1350</v>
      </c>
      <c r="AA24" s="189">
        <f t="shared" ref="AA24:AA29" si="22">IF(Z24&lt;&gt;0,Z24,R24)</f>
        <v>1350</v>
      </c>
      <c r="AB24" s="190">
        <f>IF(X24&lt;&gt;0, X24,V24)</f>
        <v>5000</v>
      </c>
      <c r="AC24" s="190">
        <f>AA24*AB24</f>
        <v>6750000</v>
      </c>
      <c r="AD24" s="196">
        <v>1</v>
      </c>
    </row>
    <row r="25" spans="1:30" s="14" customFormat="1" ht="63.75" hidden="1" customHeight="1" outlineLevel="1" x14ac:dyDescent="0.25">
      <c r="A25" s="223">
        <v>2</v>
      </c>
      <c r="B25" s="224" t="s">
        <v>142</v>
      </c>
      <c r="C25" s="223" t="s">
        <v>3</v>
      </c>
      <c r="D25" s="282">
        <v>3</v>
      </c>
      <c r="E25" s="227">
        <v>920000</v>
      </c>
      <c r="F25" s="227">
        <f>E25*D25</f>
        <v>2760000</v>
      </c>
      <c r="G25" s="228"/>
      <c r="H25" s="220">
        <v>0.11899999999999999</v>
      </c>
      <c r="I25" s="252">
        <f>ROUNDUP((E25+G25+E25*H25),-3)</f>
        <v>1030000</v>
      </c>
      <c r="J25" s="229">
        <f>I25*D25</f>
        <v>3090000</v>
      </c>
      <c r="K25" s="229">
        <f>J25-F25</f>
        <v>330000</v>
      </c>
      <c r="L25" s="253"/>
      <c r="M25" s="186"/>
      <c r="N25" s="187"/>
      <c r="O25" s="186"/>
      <c r="P25" s="187"/>
      <c r="Q25" s="212"/>
      <c r="R25" s="188">
        <f>D25</f>
        <v>3</v>
      </c>
      <c r="S25" s="189">
        <f>E25</f>
        <v>920000</v>
      </c>
      <c r="T25" s="189">
        <f>I25</f>
        <v>1030000</v>
      </c>
      <c r="U25" s="190">
        <f>T25*R25</f>
        <v>3090000</v>
      </c>
      <c r="V25" s="191">
        <f>IF(AD25=1,U25*$U$2/R25+T25,T25)</f>
        <v>1030000</v>
      </c>
      <c r="W25" s="192">
        <f>1-T25/V25</f>
        <v>0</v>
      </c>
      <c r="X25" s="193"/>
      <c r="Y25" s="194" t="str">
        <f>IF(X25&lt;&gt;0,1-T25/X25," ")</f>
        <v xml:space="preserve"> </v>
      </c>
      <c r="Z25" s="195"/>
      <c r="AA25" s="189">
        <f t="shared" si="22"/>
        <v>3</v>
      </c>
      <c r="AB25" s="190">
        <f>IF(X25&lt;&gt;0, X25,V25)</f>
        <v>1030000</v>
      </c>
      <c r="AC25" s="190">
        <f>AA25*AB25</f>
        <v>3090000</v>
      </c>
      <c r="AD25" s="196"/>
    </row>
    <row r="26" spans="1:30" s="13" customFormat="1" ht="45.75" customHeight="1" collapsed="1" x14ac:dyDescent="0.25">
      <c r="A26" s="283" t="s">
        <v>174</v>
      </c>
      <c r="B26" s="256" t="s">
        <v>175</v>
      </c>
      <c r="C26" s="284"/>
      <c r="D26" s="284"/>
      <c r="E26" s="285"/>
      <c r="F26" s="286">
        <f>SUBTOTAL(9,F27:F29)</f>
        <v>21826363.636363633</v>
      </c>
      <c r="G26" s="287"/>
      <c r="H26" s="288">
        <f>K26/SUM(F26:F26)</f>
        <v>0.25009371485692872</v>
      </c>
      <c r="I26" s="289"/>
      <c r="J26" s="286">
        <f>SUBTOTAL(9,J27:J29)</f>
        <v>27285000</v>
      </c>
      <c r="K26" s="286">
        <f>SUBTOTAL(9,K27:K29)</f>
        <v>5458636.3636363642</v>
      </c>
      <c r="L26" s="290"/>
      <c r="M26" s="210"/>
      <c r="N26" s="215" t="e">
        <f>#REF!+#REF!</f>
        <v>#REF!</v>
      </c>
      <c r="O26" s="210"/>
      <c r="P26" s="215"/>
      <c r="Q26" s="216"/>
      <c r="R26" s="188">
        <f>D26</f>
        <v>0</v>
      </c>
      <c r="S26" s="189"/>
      <c r="T26" s="189"/>
      <c r="U26" s="190">
        <f>T26*R26</f>
        <v>0</v>
      </c>
      <c r="V26" s="191">
        <f>IF(AD26=1,U26*$U$2/R26+T26,T26)</f>
        <v>0</v>
      </c>
      <c r="W26" s="192"/>
      <c r="X26" s="193"/>
      <c r="Y26" s="194" t="str">
        <f>IF(X26&lt;&gt;0,1-T26/X26," ")</f>
        <v xml:space="preserve"> </v>
      </c>
      <c r="Z26" s="217"/>
      <c r="AA26" s="189">
        <f t="shared" si="22"/>
        <v>0</v>
      </c>
      <c r="AB26" s="190">
        <f>IF(X26&lt;&gt;0, X26,V26)</f>
        <v>0</v>
      </c>
      <c r="AC26" s="190">
        <f>AA26*AB26</f>
        <v>0</v>
      </c>
      <c r="AD26" s="217"/>
    </row>
    <row r="27" spans="1:30" s="10" customFormat="1" ht="45.75" customHeight="1" x14ac:dyDescent="0.25">
      <c r="A27" s="291">
        <v>1</v>
      </c>
      <c r="B27" s="292" t="s">
        <v>90</v>
      </c>
      <c r="C27" s="178" t="s">
        <v>7</v>
      </c>
      <c r="D27" s="179">
        <v>2</v>
      </c>
      <c r="E27" s="293">
        <f>5700000/1.1</f>
        <v>5181818.1818181816</v>
      </c>
      <c r="F27" s="293">
        <f>E27*D27</f>
        <v>10363636.363636363</v>
      </c>
      <c r="G27" s="294"/>
      <c r="H27" s="295">
        <v>0.25</v>
      </c>
      <c r="I27" s="296">
        <f>ROUNDUP((E27+G27+E27*H27),-3)</f>
        <v>6478000</v>
      </c>
      <c r="J27" s="297">
        <f>I27*D27</f>
        <v>12956000</v>
      </c>
      <c r="K27" s="297">
        <f>J27-F27</f>
        <v>2592363.6363636367</v>
      </c>
      <c r="L27" s="298"/>
      <c r="M27" s="186"/>
      <c r="N27" s="187"/>
      <c r="O27" s="186"/>
      <c r="P27" s="187"/>
      <c r="Q27" s="212"/>
      <c r="R27" s="188">
        <f>D27</f>
        <v>2</v>
      </c>
      <c r="S27" s="189">
        <f>E27</f>
        <v>5181818.1818181816</v>
      </c>
      <c r="T27" s="189">
        <f>I27</f>
        <v>6478000</v>
      </c>
      <c r="U27" s="190">
        <f>T27*R27</f>
        <v>12956000</v>
      </c>
      <c r="V27" s="191" t="e">
        <f>IF(AD27=1,U27*$U$2/R27+T27,T27)</f>
        <v>#DIV/0!</v>
      </c>
      <c r="W27" s="192" t="e">
        <f>1-T27/V27</f>
        <v>#DIV/0!</v>
      </c>
      <c r="X27" s="193">
        <v>7120000</v>
      </c>
      <c r="Y27" s="194">
        <f>IF(X27&lt;&gt;0,1-T27/X27," ")</f>
        <v>9.0168539325842678E-2</v>
      </c>
      <c r="Z27" s="196"/>
      <c r="AA27" s="189">
        <f t="shared" si="22"/>
        <v>2</v>
      </c>
      <c r="AB27" s="190">
        <f>IF(X27&lt;&gt;0, X27,V27)</f>
        <v>7120000</v>
      </c>
      <c r="AC27" s="190">
        <f>AA27*AB27</f>
        <v>14240000</v>
      </c>
      <c r="AD27" s="196">
        <v>1</v>
      </c>
    </row>
    <row r="28" spans="1:30" s="10" customFormat="1" ht="45.75" customHeight="1" x14ac:dyDescent="0.25">
      <c r="A28" s="299">
        <v>2</v>
      </c>
      <c r="B28" s="198" t="s">
        <v>84</v>
      </c>
      <c r="C28" s="199" t="s">
        <v>7</v>
      </c>
      <c r="D28" s="200">
        <v>2</v>
      </c>
      <c r="E28" s="293">
        <f>2382000/1.1</f>
        <v>2165454.5454545454</v>
      </c>
      <c r="F28" s="300">
        <f>E28*D28</f>
        <v>4330909.0909090908</v>
      </c>
      <c r="G28" s="214"/>
      <c r="H28" s="295">
        <v>0.25</v>
      </c>
      <c r="I28" s="183">
        <f>ROUNDUP((E28+G28+E28*H28),-3)</f>
        <v>2707000</v>
      </c>
      <c r="J28" s="301">
        <f>I28*D28</f>
        <v>5414000</v>
      </c>
      <c r="K28" s="301">
        <f>J28-F28</f>
        <v>1083090.9090909092</v>
      </c>
      <c r="L28" s="302"/>
      <c r="M28" s="186"/>
      <c r="N28" s="187"/>
      <c r="O28" s="186"/>
      <c r="P28" s="187"/>
      <c r="Q28" s="212"/>
      <c r="R28" s="188">
        <f>D28</f>
        <v>2</v>
      </c>
      <c r="S28" s="189"/>
      <c r="T28" s="189"/>
      <c r="U28" s="190"/>
      <c r="V28" s="191"/>
      <c r="W28" s="192"/>
      <c r="X28" s="193"/>
      <c r="Y28" s="194"/>
      <c r="Z28" s="196"/>
      <c r="AA28" s="189">
        <f t="shared" si="22"/>
        <v>2</v>
      </c>
      <c r="AB28" s="190"/>
      <c r="AC28" s="190"/>
      <c r="AD28" s="196"/>
    </row>
    <row r="29" spans="1:30" s="10" customFormat="1" ht="45.75" customHeight="1" x14ac:dyDescent="0.25">
      <c r="A29" s="303">
        <v>3</v>
      </c>
      <c r="B29" s="304" t="s">
        <v>85</v>
      </c>
      <c r="C29" s="305" t="s">
        <v>7</v>
      </c>
      <c r="D29" s="306">
        <v>1</v>
      </c>
      <c r="E29" s="293">
        <f>7845000/1.1</f>
        <v>7131818.1818181816</v>
      </c>
      <c r="F29" s="307">
        <f>E29*D29</f>
        <v>7131818.1818181816</v>
      </c>
      <c r="G29" s="308"/>
      <c r="H29" s="295">
        <v>0.25</v>
      </c>
      <c r="I29" s="309">
        <f>ROUNDUP((E29+G29+E29*H29),-3)</f>
        <v>8915000</v>
      </c>
      <c r="J29" s="310">
        <f>I29*D29</f>
        <v>8915000</v>
      </c>
      <c r="K29" s="310">
        <f>J29-F29</f>
        <v>1783181.8181818184</v>
      </c>
      <c r="L29" s="311"/>
      <c r="M29" s="186"/>
      <c r="N29" s="187"/>
      <c r="O29" s="186"/>
      <c r="P29" s="187"/>
      <c r="Q29" s="212"/>
      <c r="R29" s="188">
        <f>D29</f>
        <v>1</v>
      </c>
      <c r="S29" s="189"/>
      <c r="T29" s="189"/>
      <c r="U29" s="190"/>
      <c r="V29" s="191"/>
      <c r="W29" s="192"/>
      <c r="X29" s="193"/>
      <c r="Y29" s="194"/>
      <c r="Z29" s="196"/>
      <c r="AA29" s="189">
        <f t="shared" si="22"/>
        <v>1</v>
      </c>
      <c r="AB29" s="190"/>
      <c r="AC29" s="190"/>
      <c r="AD29" s="196"/>
    </row>
    <row r="30" spans="1:30" s="16" customFormat="1" ht="45.75" customHeight="1" x14ac:dyDescent="0.25">
      <c r="A30" s="312" t="s">
        <v>88</v>
      </c>
      <c r="B30" s="312"/>
      <c r="C30" s="313"/>
      <c r="D30" s="313"/>
      <c r="E30" s="313"/>
      <c r="F30" s="236">
        <f>SUBTOTAL(9,F31:F35)</f>
        <v>22472000</v>
      </c>
      <c r="G30" s="313"/>
      <c r="H30" s="314">
        <f>K30/SUM(F30:F30)</f>
        <v>0.46386614453542185</v>
      </c>
      <c r="I30" s="313"/>
      <c r="J30" s="236">
        <f>SUBTOTAL(9,J31:J35)</f>
        <v>32896000</v>
      </c>
      <c r="K30" s="236">
        <f>SUBTOTAL(9,K31:K35)</f>
        <v>10424000</v>
      </c>
      <c r="L30" s="315"/>
      <c r="M30" s="316"/>
      <c r="N30" s="317"/>
      <c r="O30" s="318"/>
      <c r="P30" s="317"/>
      <c r="Q30" s="319"/>
      <c r="R30" s="319"/>
      <c r="S30" s="319"/>
      <c r="T30" s="319"/>
      <c r="U30" s="319"/>
      <c r="V30" s="319"/>
      <c r="W30" s="319"/>
      <c r="X30" s="319"/>
      <c r="Y30" s="319"/>
      <c r="Z30" s="319"/>
      <c r="AA30" s="319"/>
      <c r="AB30" s="319"/>
      <c r="AC30" s="319"/>
      <c r="AD30" s="319"/>
    </row>
    <row r="31" spans="1:30" s="10" customFormat="1" ht="45.75" hidden="1" customHeight="1" outlineLevel="1" x14ac:dyDescent="0.25">
      <c r="A31" s="197">
        <v>1</v>
      </c>
      <c r="B31" s="208" t="s">
        <v>143</v>
      </c>
      <c r="C31" s="299" t="s">
        <v>6</v>
      </c>
      <c r="D31" s="200">
        <v>1</v>
      </c>
      <c r="E31" s="300">
        <v>15000000</v>
      </c>
      <c r="F31" s="300">
        <f>E31*D31</f>
        <v>15000000</v>
      </c>
      <c r="G31" s="320"/>
      <c r="H31" s="321">
        <v>0.4</v>
      </c>
      <c r="I31" s="183">
        <f t="shared" ref="I31:I36" si="23">ROUNDUP((E31+G31+E31*H31),-3)</f>
        <v>21000000</v>
      </c>
      <c r="J31" s="301">
        <f t="shared" ref="J31:J36" si="24">I31*D31</f>
        <v>21000000</v>
      </c>
      <c r="K31" s="301">
        <f t="shared" ref="K31:K36" si="25">J31-F31</f>
        <v>6000000</v>
      </c>
      <c r="L31" s="300"/>
      <c r="M31" s="186"/>
      <c r="N31" s="187"/>
      <c r="O31" s="186"/>
      <c r="P31" s="187"/>
      <c r="Q31" s="212"/>
      <c r="R31" s="188">
        <f t="shared" ref="R31:S34" si="26">D31</f>
        <v>1</v>
      </c>
      <c r="S31" s="189">
        <f t="shared" si="26"/>
        <v>15000000</v>
      </c>
      <c r="T31" s="189">
        <f>I31</f>
        <v>21000000</v>
      </c>
      <c r="U31" s="190">
        <f>T31*R31</f>
        <v>21000000</v>
      </c>
      <c r="V31" s="191" t="e">
        <f>IF(AD31=1,U31*$U$2/R31+T31,T31)</f>
        <v>#DIV/0!</v>
      </c>
      <c r="W31" s="192" t="e">
        <f>1-T31/V31</f>
        <v>#DIV/0!</v>
      </c>
      <c r="X31" s="193">
        <v>19500</v>
      </c>
      <c r="Y31" s="194">
        <f>IF(X31&lt;&gt;0,1-T31/X31," ")</f>
        <v>-1075.9230769230769</v>
      </c>
      <c r="Z31" s="195"/>
      <c r="AA31" s="189">
        <f>IF(Z31&lt;&gt;0,Z31,R31)</f>
        <v>1</v>
      </c>
      <c r="AB31" s="190">
        <f>IF(X31&lt;&gt;0, X31,V31)</f>
        <v>19500</v>
      </c>
      <c r="AC31" s="190">
        <f>AA31*AB31</f>
        <v>19500</v>
      </c>
      <c r="AD31" s="196">
        <v>1</v>
      </c>
    </row>
    <row r="32" spans="1:30" s="10" customFormat="1" ht="45.75" hidden="1" customHeight="1" outlineLevel="1" x14ac:dyDescent="0.25">
      <c r="A32" s="197">
        <v>2</v>
      </c>
      <c r="B32" s="208" t="s">
        <v>144</v>
      </c>
      <c r="C32" s="199" t="s">
        <v>5</v>
      </c>
      <c r="D32" s="200">
        <v>8</v>
      </c>
      <c r="E32" s="201">
        <v>19000</v>
      </c>
      <c r="F32" s="201">
        <f>E32*D32</f>
        <v>152000</v>
      </c>
      <c r="G32" s="202"/>
      <c r="H32" s="203">
        <v>0.4</v>
      </c>
      <c r="I32" s="183">
        <f t="shared" si="23"/>
        <v>27000</v>
      </c>
      <c r="J32" s="204">
        <f t="shared" si="24"/>
        <v>216000</v>
      </c>
      <c r="K32" s="204">
        <f t="shared" si="25"/>
        <v>64000</v>
      </c>
      <c r="L32" s="205"/>
      <c r="M32" s="186"/>
      <c r="N32" s="187"/>
      <c r="O32" s="186"/>
      <c r="P32" s="187">
        <f>O32/E32</f>
        <v>0</v>
      </c>
      <c r="Q32" s="212"/>
      <c r="R32" s="188">
        <f t="shared" si="26"/>
        <v>8</v>
      </c>
      <c r="S32" s="189">
        <f t="shared" si="26"/>
        <v>19000</v>
      </c>
      <c r="T32" s="189">
        <f>I32</f>
        <v>27000</v>
      </c>
      <c r="U32" s="190">
        <f>T32*R32</f>
        <v>216000</v>
      </c>
      <c r="V32" s="191" t="e">
        <f>IF(AD32=1,U32*$U$2/R32+T32,T32)</f>
        <v>#DIV/0!</v>
      </c>
      <c r="W32" s="192" t="e">
        <f>1-T32/V32</f>
        <v>#DIV/0!</v>
      </c>
      <c r="X32" s="193">
        <v>160000</v>
      </c>
      <c r="Y32" s="194">
        <f>IF(X32&lt;&gt;0,1-T32/X32," ")</f>
        <v>0.83125000000000004</v>
      </c>
      <c r="Z32" s="196"/>
      <c r="AA32" s="189">
        <f>IF(Z32&lt;&gt;0,Z32,R32)</f>
        <v>8</v>
      </c>
      <c r="AB32" s="190">
        <f>IF(X32&lt;&gt;0, X32,V32)</f>
        <v>160000</v>
      </c>
      <c r="AC32" s="190">
        <f>AA32*AB32</f>
        <v>1280000</v>
      </c>
      <c r="AD32" s="196">
        <v>1</v>
      </c>
    </row>
    <row r="33" spans="1:30" s="10" customFormat="1" ht="45.75" hidden="1" customHeight="1" outlineLevel="1" x14ac:dyDescent="0.25">
      <c r="A33" s="197">
        <v>3</v>
      </c>
      <c r="B33" s="208" t="s">
        <v>145</v>
      </c>
      <c r="C33" s="299" t="s">
        <v>4</v>
      </c>
      <c r="D33" s="200">
        <v>1700</v>
      </c>
      <c r="E33" s="300">
        <f>150000/50</f>
        <v>3000</v>
      </c>
      <c r="F33" s="300">
        <f>E33*D33</f>
        <v>5100000</v>
      </c>
      <c r="G33" s="320"/>
      <c r="H33" s="321">
        <v>0.35</v>
      </c>
      <c r="I33" s="183">
        <f t="shared" si="23"/>
        <v>5000</v>
      </c>
      <c r="J33" s="301">
        <f t="shared" si="24"/>
        <v>8500000</v>
      </c>
      <c r="K33" s="301">
        <f t="shared" si="25"/>
        <v>3400000</v>
      </c>
      <c r="L33" s="322"/>
      <c r="M33" s="186"/>
      <c r="N33" s="187"/>
      <c r="O33" s="186"/>
      <c r="P33" s="187"/>
      <c r="Q33" s="212"/>
      <c r="R33" s="188">
        <f t="shared" si="26"/>
        <v>1700</v>
      </c>
      <c r="S33" s="189">
        <f t="shared" si="26"/>
        <v>3000</v>
      </c>
      <c r="T33" s="189">
        <f>I33</f>
        <v>5000</v>
      </c>
      <c r="U33" s="190">
        <f>T33*R33</f>
        <v>8500000</v>
      </c>
      <c r="V33" s="191" t="e">
        <f>IF(AD33=1,U33*$U$2/R33+T33,T33)</f>
        <v>#DIV/0!</v>
      </c>
      <c r="W33" s="192" t="e">
        <f>1-T33/V33</f>
        <v>#DIV/0!</v>
      </c>
      <c r="X33" s="193"/>
      <c r="Y33" s="194" t="str">
        <f>IF(X33&lt;&gt;0,1-T33/X33," ")</f>
        <v xml:space="preserve"> </v>
      </c>
      <c r="Z33" s="189"/>
      <c r="AA33" s="189">
        <f>IF(Z33&lt;&gt;0,Z33,R33)</f>
        <v>1700</v>
      </c>
      <c r="AB33" s="190" t="e">
        <f>IF(X33&lt;&gt;0, X33,V33)</f>
        <v>#DIV/0!</v>
      </c>
      <c r="AC33" s="190" t="e">
        <f>AA33*AB33</f>
        <v>#DIV/0!</v>
      </c>
      <c r="AD33" s="196">
        <v>1</v>
      </c>
    </row>
    <row r="34" spans="1:30" s="10" customFormat="1" ht="45.75" hidden="1" customHeight="1" outlineLevel="1" x14ac:dyDescent="0.25">
      <c r="A34" s="197">
        <v>4</v>
      </c>
      <c r="B34" s="208" t="s">
        <v>51</v>
      </c>
      <c r="C34" s="199" t="s">
        <v>3</v>
      </c>
      <c r="D34" s="200">
        <v>4</v>
      </c>
      <c r="E34" s="201">
        <v>30000</v>
      </c>
      <c r="F34" s="201">
        <f>E34*D34</f>
        <v>120000</v>
      </c>
      <c r="G34" s="202"/>
      <c r="H34" s="203">
        <v>0.5</v>
      </c>
      <c r="I34" s="183">
        <f t="shared" si="23"/>
        <v>45000</v>
      </c>
      <c r="J34" s="204">
        <f t="shared" si="24"/>
        <v>180000</v>
      </c>
      <c r="K34" s="204">
        <f t="shared" si="25"/>
        <v>60000</v>
      </c>
      <c r="L34" s="205"/>
      <c r="M34" s="254" t="s">
        <v>49</v>
      </c>
      <c r="N34" s="187"/>
      <c r="O34" s="186"/>
      <c r="P34" s="187"/>
      <c r="Q34" s="212"/>
      <c r="R34" s="188">
        <f t="shared" si="26"/>
        <v>4</v>
      </c>
      <c r="S34" s="189">
        <f t="shared" si="26"/>
        <v>30000</v>
      </c>
      <c r="T34" s="189">
        <f>I34</f>
        <v>45000</v>
      </c>
      <c r="U34" s="190">
        <f>T34*R34</f>
        <v>180000</v>
      </c>
      <c r="V34" s="191">
        <f>IF(AD34=1,U34*$U$2/R34+T34,T34)</f>
        <v>45000</v>
      </c>
      <c r="W34" s="192">
        <f>1-T34/V34</f>
        <v>0</v>
      </c>
      <c r="X34" s="193"/>
      <c r="Y34" s="194" t="str">
        <f>IF(X34&lt;&gt;0,1-T34/X34," ")</f>
        <v xml:space="preserve"> </v>
      </c>
      <c r="Z34" s="195"/>
      <c r="AA34" s="189">
        <f>IF(Z34&lt;&gt;0,Z34,R34)</f>
        <v>4</v>
      </c>
      <c r="AB34" s="190">
        <f>IF(X34&lt;&gt;0, X34,V34)</f>
        <v>45000</v>
      </c>
      <c r="AC34" s="190">
        <f>AA34*AB34</f>
        <v>180000</v>
      </c>
      <c r="AD34" s="196"/>
    </row>
    <row r="35" spans="1:30" s="10" customFormat="1" ht="45.75" hidden="1" customHeight="1" outlineLevel="1" x14ac:dyDescent="0.25">
      <c r="A35" s="323">
        <v>5</v>
      </c>
      <c r="B35" s="324" t="s">
        <v>77</v>
      </c>
      <c r="C35" s="303" t="s">
        <v>4</v>
      </c>
      <c r="D35" s="306">
        <v>300</v>
      </c>
      <c r="E35" s="307">
        <v>7000</v>
      </c>
      <c r="F35" s="307">
        <f>E35*D35</f>
        <v>2100000</v>
      </c>
      <c r="G35" s="325"/>
      <c r="H35" s="326">
        <v>0.36</v>
      </c>
      <c r="I35" s="309">
        <f t="shared" si="23"/>
        <v>10000</v>
      </c>
      <c r="J35" s="310">
        <f t="shared" si="24"/>
        <v>3000000</v>
      </c>
      <c r="K35" s="310">
        <f t="shared" si="25"/>
        <v>900000</v>
      </c>
      <c r="L35" s="327"/>
      <c r="M35" s="186"/>
      <c r="N35" s="187"/>
      <c r="O35" s="186"/>
      <c r="P35" s="187"/>
      <c r="Q35" s="212"/>
      <c r="R35" s="188"/>
      <c r="S35" s="189"/>
      <c r="T35" s="189"/>
      <c r="U35" s="190"/>
      <c r="V35" s="191"/>
      <c r="W35" s="192"/>
      <c r="X35" s="193"/>
      <c r="Y35" s="194"/>
      <c r="Z35" s="222"/>
      <c r="AA35" s="189"/>
      <c r="AB35" s="190"/>
      <c r="AC35" s="190"/>
      <c r="AD35" s="196"/>
    </row>
    <row r="36" spans="1:30" s="16" customFormat="1" ht="45.75" customHeight="1" collapsed="1" x14ac:dyDescent="0.25">
      <c r="A36" s="312" t="s">
        <v>176</v>
      </c>
      <c r="B36" s="312" t="s">
        <v>177</v>
      </c>
      <c r="C36" s="313" t="s">
        <v>27</v>
      </c>
      <c r="D36" s="328">
        <f>SUM(D37:D40)</f>
        <v>160</v>
      </c>
      <c r="E36" s="329">
        <f>F36/D36</f>
        <v>458531.25</v>
      </c>
      <c r="F36" s="329">
        <f>SUBTOTAL(9,F37:F42)</f>
        <v>73365000</v>
      </c>
      <c r="G36" s="329"/>
      <c r="H36" s="314">
        <v>0.36</v>
      </c>
      <c r="I36" s="329">
        <f t="shared" si="23"/>
        <v>624000</v>
      </c>
      <c r="J36" s="329">
        <f t="shared" si="24"/>
        <v>99840000</v>
      </c>
      <c r="K36" s="329">
        <f t="shared" si="25"/>
        <v>26475000</v>
      </c>
      <c r="L36" s="315"/>
      <c r="M36" s="316">
        <f>56/61</f>
        <v>0.91803278688524592</v>
      </c>
      <c r="N36" s="317"/>
      <c r="O36" s="318"/>
      <c r="P36" s="317"/>
      <c r="Q36" s="319"/>
      <c r="R36" s="319"/>
      <c r="S36" s="319"/>
      <c r="T36" s="319"/>
      <c r="U36" s="319">
        <f>T36*R36</f>
        <v>0</v>
      </c>
      <c r="V36" s="319"/>
      <c r="W36" s="319"/>
      <c r="X36" s="319"/>
      <c r="Y36" s="319" t="str">
        <f>IF(X36&lt;&gt;0,1-T36/X36," ")</f>
        <v xml:space="preserve"> </v>
      </c>
      <c r="Z36" s="319"/>
      <c r="AA36" s="319">
        <f>IF(Z36&lt;&gt;0,Z36,R36)</f>
        <v>0</v>
      </c>
      <c r="AB36" s="319">
        <f>IF(X36&lt;&gt;0, X36,V36)</f>
        <v>0</v>
      </c>
      <c r="AC36" s="319">
        <f>AA36*AB36</f>
        <v>0</v>
      </c>
      <c r="AD36" s="319"/>
    </row>
    <row r="37" spans="1:30" s="10" customFormat="1" ht="45.75" hidden="1" customHeight="1" outlineLevel="1" x14ac:dyDescent="0.25">
      <c r="A37" s="197">
        <v>1</v>
      </c>
      <c r="B37" s="330" t="s">
        <v>115</v>
      </c>
      <c r="C37" s="197" t="s">
        <v>27</v>
      </c>
      <c r="D37" s="331">
        <v>117</v>
      </c>
      <c r="E37" s="332">
        <v>400000</v>
      </c>
      <c r="F37" s="333">
        <f t="shared" ref="F37:F42" si="27">E37*D37</f>
        <v>46800000</v>
      </c>
      <c r="G37" s="202"/>
      <c r="H37" s="202"/>
      <c r="I37" s="202"/>
      <c r="J37" s="202"/>
      <c r="K37" s="202"/>
      <c r="L37" s="202"/>
      <c r="M37" s="212"/>
      <c r="N37" s="212"/>
      <c r="O37" s="212"/>
      <c r="P37" s="212"/>
      <c r="Q37" s="212"/>
      <c r="R37" s="196"/>
      <c r="S37" s="196"/>
      <c r="T37" s="196"/>
      <c r="U37" s="190"/>
      <c r="V37" s="189"/>
      <c r="W37" s="196"/>
      <c r="X37" s="190"/>
      <c r="Y37" s="196"/>
      <c r="Z37" s="196"/>
      <c r="AA37" s="189"/>
      <c r="AB37" s="190"/>
      <c r="AC37" s="190"/>
      <c r="AD37" s="196"/>
    </row>
    <row r="38" spans="1:30" s="10" customFormat="1" ht="45.75" hidden="1" customHeight="1" outlineLevel="1" x14ac:dyDescent="0.25">
      <c r="A38" s="197">
        <v>2</v>
      </c>
      <c r="B38" s="330" t="s">
        <v>116</v>
      </c>
      <c r="C38" s="197" t="s">
        <v>27</v>
      </c>
      <c r="D38" s="331">
        <v>39</v>
      </c>
      <c r="E38" s="334">
        <v>500000</v>
      </c>
      <c r="F38" s="333">
        <f t="shared" si="27"/>
        <v>19500000</v>
      </c>
      <c r="G38" s="202"/>
      <c r="H38" s="202"/>
      <c r="I38" s="202"/>
      <c r="J38" s="202"/>
      <c r="K38" s="204"/>
      <c r="L38" s="202"/>
      <c r="M38" s="212"/>
      <c r="N38" s="212"/>
      <c r="O38" s="212"/>
      <c r="P38" s="212"/>
      <c r="Q38" s="212"/>
      <c r="R38" s="196"/>
      <c r="S38" s="196"/>
      <c r="T38" s="196"/>
      <c r="U38" s="190"/>
      <c r="V38" s="189"/>
      <c r="W38" s="196"/>
      <c r="X38" s="190"/>
      <c r="Y38" s="196"/>
      <c r="Z38" s="196"/>
      <c r="AA38" s="189"/>
      <c r="AB38" s="190"/>
      <c r="AC38" s="190"/>
      <c r="AD38" s="196"/>
    </row>
    <row r="39" spans="1:30" s="10" customFormat="1" ht="45.75" hidden="1" customHeight="1" outlineLevel="1" x14ac:dyDescent="0.25">
      <c r="A39" s="197">
        <v>3</v>
      </c>
      <c r="B39" s="330" t="s">
        <v>136</v>
      </c>
      <c r="C39" s="197" t="s">
        <v>27</v>
      </c>
      <c r="D39" s="331">
        <v>2</v>
      </c>
      <c r="E39" s="332">
        <v>450000</v>
      </c>
      <c r="F39" s="333">
        <f t="shared" si="27"/>
        <v>900000</v>
      </c>
      <c r="G39" s="202"/>
      <c r="H39" s="202"/>
      <c r="I39" s="202"/>
      <c r="J39" s="202"/>
      <c r="K39" s="202"/>
      <c r="L39" s="202"/>
      <c r="M39" s="212"/>
      <c r="N39" s="212"/>
      <c r="O39" s="212"/>
      <c r="P39" s="212"/>
      <c r="Q39" s="212"/>
      <c r="R39" s="196"/>
      <c r="S39" s="196"/>
      <c r="T39" s="196"/>
      <c r="U39" s="190"/>
      <c r="V39" s="189"/>
      <c r="W39" s="196"/>
      <c r="X39" s="190"/>
      <c r="Y39" s="196"/>
      <c r="Z39" s="196"/>
      <c r="AA39" s="189"/>
      <c r="AB39" s="190"/>
      <c r="AC39" s="190"/>
      <c r="AD39" s="196"/>
    </row>
    <row r="40" spans="1:30" s="10" customFormat="1" ht="45.75" hidden="1" customHeight="1" outlineLevel="1" x14ac:dyDescent="0.25">
      <c r="A40" s="197">
        <v>4</v>
      </c>
      <c r="B40" s="330" t="s">
        <v>117</v>
      </c>
      <c r="C40" s="197" t="s">
        <v>27</v>
      </c>
      <c r="D40" s="331">
        <v>2</v>
      </c>
      <c r="E40" s="332">
        <v>450000</v>
      </c>
      <c r="F40" s="333">
        <f t="shared" si="27"/>
        <v>900000</v>
      </c>
      <c r="G40" s="202"/>
      <c r="H40" s="202"/>
      <c r="I40" s="202"/>
      <c r="J40" s="202"/>
      <c r="K40" s="202"/>
      <c r="L40" s="202"/>
      <c r="M40" s="212"/>
      <c r="N40" s="212"/>
      <c r="O40" s="212"/>
      <c r="P40" s="212"/>
      <c r="Q40" s="212"/>
      <c r="R40" s="196"/>
      <c r="S40" s="196"/>
      <c r="T40" s="196"/>
      <c r="U40" s="190"/>
      <c r="V40" s="189"/>
      <c r="W40" s="196"/>
      <c r="X40" s="190"/>
      <c r="Y40" s="196"/>
      <c r="Z40" s="196"/>
      <c r="AA40" s="189"/>
      <c r="AB40" s="190"/>
      <c r="AC40" s="190"/>
      <c r="AD40" s="196"/>
    </row>
    <row r="41" spans="1:30" s="10" customFormat="1" ht="45.75" hidden="1" customHeight="1" outlineLevel="1" x14ac:dyDescent="0.25">
      <c r="A41" s="197">
        <v>5</v>
      </c>
      <c r="B41" s="330" t="s">
        <v>118</v>
      </c>
      <c r="C41" s="197" t="s">
        <v>27</v>
      </c>
      <c r="D41" s="331">
        <f>SUM(D37:D38)</f>
        <v>156</v>
      </c>
      <c r="E41" s="332">
        <v>30000</v>
      </c>
      <c r="F41" s="333">
        <f t="shared" si="27"/>
        <v>4680000</v>
      </c>
      <c r="G41" s="204"/>
      <c r="H41" s="202"/>
      <c r="I41" s="202"/>
      <c r="J41" s="202"/>
      <c r="K41" s="202"/>
      <c r="L41" s="202"/>
      <c r="M41" s="212"/>
      <c r="N41" s="212"/>
      <c r="O41" s="212"/>
      <c r="P41" s="212"/>
      <c r="Q41" s="212"/>
      <c r="R41" s="196"/>
      <c r="S41" s="196"/>
      <c r="T41" s="196"/>
      <c r="U41" s="190"/>
      <c r="V41" s="189"/>
      <c r="W41" s="196"/>
      <c r="X41" s="190"/>
      <c r="Y41" s="196"/>
      <c r="Z41" s="196"/>
      <c r="AA41" s="189"/>
      <c r="AB41" s="190"/>
      <c r="AC41" s="190"/>
      <c r="AD41" s="196"/>
    </row>
    <row r="42" spans="1:30" s="10" customFormat="1" ht="45.75" hidden="1" customHeight="1" outlineLevel="1" x14ac:dyDescent="0.25">
      <c r="A42" s="323">
        <v>6</v>
      </c>
      <c r="B42" s="335" t="s">
        <v>119</v>
      </c>
      <c r="C42" s="323" t="s">
        <v>120</v>
      </c>
      <c r="D42" s="336">
        <v>39</v>
      </c>
      <c r="E42" s="337">
        <v>15000</v>
      </c>
      <c r="F42" s="333">
        <f t="shared" si="27"/>
        <v>585000</v>
      </c>
      <c r="G42" s="338"/>
      <c r="H42" s="339"/>
      <c r="I42" s="339"/>
      <c r="J42" s="339"/>
      <c r="K42" s="339"/>
      <c r="L42" s="339"/>
      <c r="M42" s="212"/>
      <c r="N42" s="212"/>
      <c r="O42" s="212"/>
      <c r="P42" s="212"/>
      <c r="Q42" s="212"/>
      <c r="R42" s="196"/>
      <c r="S42" s="196"/>
      <c r="T42" s="196"/>
      <c r="U42" s="190"/>
      <c r="V42" s="189"/>
      <c r="W42" s="196"/>
      <c r="X42" s="190"/>
      <c r="Y42" s="196"/>
      <c r="Z42" s="196"/>
      <c r="AA42" s="189"/>
      <c r="AB42" s="190"/>
      <c r="AC42" s="190"/>
      <c r="AD42" s="196"/>
    </row>
    <row r="43" spans="1:30" s="9" customFormat="1" ht="45.75" customHeight="1" collapsed="1" x14ac:dyDescent="0.4">
      <c r="A43" s="340" t="s">
        <v>28</v>
      </c>
      <c r="B43" s="340"/>
      <c r="C43" s="167"/>
      <c r="D43" s="341"/>
      <c r="E43" s="342"/>
      <c r="F43" s="343">
        <f>SUBTOTAL(9,F3:F42)</f>
        <v>356632976.15499258</v>
      </c>
      <c r="G43" s="343"/>
      <c r="H43" s="344">
        <f>K43/F43</f>
        <v>0.3633287791892082</v>
      </c>
      <c r="I43" s="342"/>
      <c r="J43" s="343">
        <f>SUBTOTAL(9,J3:J42)</f>
        <v>486208000</v>
      </c>
      <c r="K43" s="343">
        <f>SUBTOTAL(9,K3:K42)</f>
        <v>129575023.84500745</v>
      </c>
      <c r="L43" s="345"/>
      <c r="M43" s="346"/>
      <c r="N43" s="346"/>
      <c r="O43" s="346"/>
      <c r="P43" s="347"/>
      <c r="Q43" s="348"/>
      <c r="R43" s="349"/>
      <c r="S43" s="349"/>
      <c r="T43" s="349"/>
      <c r="U43" s="350">
        <f>SUM(U5:U27)</f>
        <v>321731000</v>
      </c>
      <c r="V43" s="351"/>
      <c r="W43" s="349"/>
      <c r="X43" s="352"/>
      <c r="Y43" s="349"/>
      <c r="Z43" s="349"/>
      <c r="AA43" s="353"/>
      <c r="AB43" s="352"/>
      <c r="AC43" s="350" t="e">
        <f>SUM(AC5:AC36)</f>
        <v>#DIV/0!</v>
      </c>
      <c r="AD43" s="349"/>
    </row>
    <row r="44" spans="1:30" s="9" customFormat="1" ht="45.75" customHeight="1" x14ac:dyDescent="0.4">
      <c r="A44" s="340" t="s">
        <v>8</v>
      </c>
      <c r="B44" s="340"/>
      <c r="C44" s="167"/>
      <c r="D44" s="341"/>
      <c r="E44" s="341"/>
      <c r="F44" s="343">
        <f>F43*0.1</f>
        <v>35663297.615499258</v>
      </c>
      <c r="G44" s="343"/>
      <c r="H44" s="354"/>
      <c r="I44" s="341"/>
      <c r="J44" s="343">
        <f>J43*0.1</f>
        <v>48620800</v>
      </c>
      <c r="K44" s="355"/>
      <c r="L44" s="345"/>
      <c r="M44" s="346"/>
      <c r="N44" s="347"/>
      <c r="O44" s="346"/>
      <c r="P44" s="347"/>
      <c r="Q44" s="348"/>
      <c r="R44" s="349"/>
      <c r="S44" s="349"/>
      <c r="T44" s="349"/>
      <c r="U44" s="352"/>
      <c r="V44" s="353"/>
      <c r="W44" s="349"/>
      <c r="X44" s="352"/>
      <c r="Y44" s="349"/>
      <c r="Z44" s="349"/>
      <c r="AA44" s="353"/>
      <c r="AB44" s="352"/>
      <c r="AC44" s="352"/>
      <c r="AD44" s="349"/>
    </row>
    <row r="45" spans="1:30" s="9" customFormat="1" ht="45.75" customHeight="1" x14ac:dyDescent="0.4">
      <c r="A45" s="340" t="s">
        <v>29</v>
      </c>
      <c r="B45" s="356"/>
      <c r="C45" s="357"/>
      <c r="D45" s="358"/>
      <c r="E45" s="358"/>
      <c r="F45" s="359">
        <f>F43+F44</f>
        <v>392296273.77049184</v>
      </c>
      <c r="G45" s="360"/>
      <c r="H45" s="361"/>
      <c r="I45" s="360"/>
      <c r="J45" s="343">
        <f>J43+J44</f>
        <v>534828800</v>
      </c>
      <c r="K45" s="362"/>
      <c r="L45" s="345"/>
      <c r="M45" s="346"/>
      <c r="N45" s="347"/>
      <c r="O45" s="346"/>
      <c r="P45" s="347"/>
      <c r="Q45" s="348"/>
      <c r="R45" s="349"/>
      <c r="S45" s="349"/>
      <c r="T45" s="349"/>
      <c r="U45" s="352"/>
      <c r="V45" s="353"/>
      <c r="W45" s="349"/>
      <c r="X45" s="352"/>
      <c r="Y45" s="349"/>
      <c r="Z45" s="349"/>
      <c r="AA45" s="353"/>
      <c r="AB45" s="352"/>
      <c r="AC45" s="352"/>
      <c r="AD45" s="349"/>
    </row>
    <row r="46" spans="1:30" s="149" customFormat="1" ht="36.75" customHeight="1" x14ac:dyDescent="0.4">
      <c r="A46" s="363"/>
      <c r="B46" s="364" t="s">
        <v>178</v>
      </c>
      <c r="C46" s="365">
        <v>0.11</v>
      </c>
      <c r="D46" s="365"/>
      <c r="E46" s="717"/>
      <c r="F46" s="717"/>
      <c r="I46" s="348"/>
      <c r="J46" s="366"/>
      <c r="K46" s="186"/>
      <c r="L46" s="367"/>
      <c r="M46" s="348"/>
      <c r="N46" s="363"/>
      <c r="O46" s="347"/>
    </row>
    <row r="47" spans="1:30" s="149" customFormat="1" ht="36.75" customHeight="1" x14ac:dyDescent="0.4">
      <c r="A47" s="363"/>
      <c r="B47" s="368" t="s">
        <v>179</v>
      </c>
      <c r="C47" s="369">
        <v>2</v>
      </c>
      <c r="D47" s="369"/>
      <c r="E47" s="717"/>
      <c r="F47" s="717"/>
      <c r="I47" s="348"/>
      <c r="J47" s="366"/>
      <c r="K47" s="186"/>
      <c r="L47" s="370"/>
      <c r="M47" s="348"/>
      <c r="N47" s="363"/>
      <c r="O47" s="347"/>
    </row>
    <row r="48" spans="1:30" s="149" customFormat="1" ht="36.75" customHeight="1" x14ac:dyDescent="0.4">
      <c r="A48" s="363"/>
      <c r="B48" s="364" t="s">
        <v>57</v>
      </c>
      <c r="C48" s="371">
        <v>0.05</v>
      </c>
      <c r="D48" s="371"/>
      <c r="E48" s="718">
        <f>C51*C48</f>
        <v>24310400</v>
      </c>
      <c r="F48" s="718"/>
      <c r="I48" s="348"/>
      <c r="J48" s="366"/>
      <c r="K48" s="147"/>
      <c r="L48" s="231"/>
      <c r="M48" s="348"/>
      <c r="N48" s="363"/>
      <c r="O48" s="347"/>
    </row>
    <row r="49" spans="1:18" s="149" customFormat="1" ht="36.75" customHeight="1" x14ac:dyDescent="0.4">
      <c r="A49" s="363"/>
      <c r="B49" s="364" t="s">
        <v>180</v>
      </c>
      <c r="C49" s="372">
        <v>12</v>
      </c>
      <c r="D49" s="372"/>
      <c r="E49" s="717"/>
      <c r="F49" s="717"/>
      <c r="I49" s="348"/>
      <c r="J49" s="366"/>
      <c r="K49" s="186"/>
      <c r="L49" s="231"/>
      <c r="M49" s="373"/>
      <c r="N49" s="363"/>
      <c r="O49" s="347"/>
    </row>
    <row r="50" spans="1:18" s="149" customFormat="1" ht="36.75" customHeight="1" x14ac:dyDescent="0.4">
      <c r="A50" s="374"/>
      <c r="B50" s="375" t="s">
        <v>58</v>
      </c>
      <c r="C50" s="376"/>
      <c r="D50" s="376"/>
      <c r="E50" s="377" t="s">
        <v>31</v>
      </c>
      <c r="F50" s="377" t="s">
        <v>32</v>
      </c>
      <c r="I50" s="378"/>
      <c r="J50" s="379"/>
      <c r="K50" s="380"/>
      <c r="L50" s="381"/>
      <c r="M50" s="382"/>
      <c r="N50" s="383"/>
      <c r="O50" s="376"/>
      <c r="P50" s="376"/>
      <c r="Q50" s="377"/>
      <c r="R50" s="377"/>
    </row>
    <row r="51" spans="1:18" s="387" customFormat="1" ht="36.75" customHeight="1" x14ac:dyDescent="0.25">
      <c r="A51" s="384">
        <v>1</v>
      </c>
      <c r="B51" s="385" t="s">
        <v>30</v>
      </c>
      <c r="C51" s="705">
        <f>J43</f>
        <v>486208000</v>
      </c>
      <c r="D51" s="706"/>
      <c r="E51" s="386"/>
      <c r="F51" s="384"/>
      <c r="I51" s="388"/>
      <c r="J51" s="707"/>
      <c r="K51" s="707"/>
      <c r="L51" s="389"/>
      <c r="M51" s="390"/>
      <c r="N51" s="391"/>
      <c r="O51" s="708"/>
      <c r="P51" s="708"/>
      <c r="Q51" s="392"/>
      <c r="R51" s="393"/>
    </row>
    <row r="52" spans="1:18" s="387" customFormat="1" ht="36.75" customHeight="1" x14ac:dyDescent="0.25">
      <c r="A52" s="384">
        <v>2</v>
      </c>
      <c r="B52" s="385" t="s">
        <v>33</v>
      </c>
      <c r="C52" s="705">
        <f>SUM(C53:D58)</f>
        <v>357119184.15499258</v>
      </c>
      <c r="D52" s="706"/>
      <c r="E52" s="394">
        <f>C52/$C$51</f>
        <v>0.73449878273288915</v>
      </c>
      <c r="F52" s="395">
        <f>C52/$C$52</f>
        <v>1</v>
      </c>
      <c r="I52" s="388"/>
      <c r="J52" s="396"/>
      <c r="K52" s="396"/>
      <c r="L52" s="397"/>
      <c r="M52" s="216"/>
      <c r="N52" s="391"/>
      <c r="O52" s="398"/>
      <c r="P52" s="398"/>
      <c r="Q52" s="399"/>
      <c r="R52" s="212"/>
    </row>
    <row r="53" spans="1:18" s="387" customFormat="1" ht="36.75" customHeight="1" x14ac:dyDescent="0.25">
      <c r="A53" s="400"/>
      <c r="B53" s="401" t="s">
        <v>34</v>
      </c>
      <c r="C53" s="709">
        <f>SUBTOTAL(9,F4:F35)</f>
        <v>283267976.15499258</v>
      </c>
      <c r="D53" s="710"/>
      <c r="E53" s="402">
        <f>C53/$C$51</f>
        <v>0.58260657199180721</v>
      </c>
      <c r="F53" s="402">
        <f>C53/$C$52</f>
        <v>0.79320291018600675</v>
      </c>
      <c r="I53" s="388"/>
      <c r="J53" s="396"/>
      <c r="K53" s="396"/>
      <c r="L53" s="403"/>
      <c r="M53" s="403"/>
      <c r="N53" s="391"/>
      <c r="O53" s="398"/>
      <c r="P53" s="398"/>
      <c r="Q53" s="404"/>
      <c r="R53" s="404"/>
    </row>
    <row r="54" spans="1:18" s="387" customFormat="1" ht="36.75" customHeight="1" x14ac:dyDescent="0.25">
      <c r="A54" s="400"/>
      <c r="B54" s="401" t="s">
        <v>35</v>
      </c>
      <c r="C54" s="405"/>
      <c r="D54" s="406"/>
      <c r="E54" s="402"/>
      <c r="F54" s="402"/>
      <c r="I54" s="388"/>
      <c r="J54" s="396"/>
      <c r="K54" s="396"/>
      <c r="L54" s="403"/>
      <c r="M54" s="403"/>
      <c r="N54" s="391"/>
      <c r="O54" s="398"/>
      <c r="P54" s="398"/>
      <c r="Q54" s="404"/>
      <c r="R54" s="404"/>
    </row>
    <row r="55" spans="1:18" s="387" customFormat="1" ht="36.75" customHeight="1" x14ac:dyDescent="0.25">
      <c r="A55" s="400"/>
      <c r="B55" s="401" t="s">
        <v>36</v>
      </c>
      <c r="C55" s="709">
        <f>F36</f>
        <v>73365000</v>
      </c>
      <c r="D55" s="710"/>
      <c r="E55" s="402">
        <f>C55/$C$51</f>
        <v>0.150892210741082</v>
      </c>
      <c r="F55" s="402">
        <f>C55/$C$52</f>
        <v>0.20543561716964218</v>
      </c>
      <c r="J55" s="708"/>
      <c r="K55" s="708"/>
      <c r="L55" s="404"/>
      <c r="M55" s="404"/>
      <c r="N55" s="407"/>
      <c r="O55" s="708"/>
      <c r="P55" s="708"/>
      <c r="Q55" s="404"/>
      <c r="R55" s="404"/>
    </row>
    <row r="56" spans="1:18" s="387" customFormat="1" ht="36.75" customHeight="1" x14ac:dyDescent="0.25">
      <c r="A56" s="400"/>
      <c r="B56" s="401" t="s">
        <v>37</v>
      </c>
      <c r="C56" s="405"/>
      <c r="D56" s="406"/>
      <c r="E56" s="402"/>
      <c r="F56" s="402"/>
      <c r="J56" s="714"/>
      <c r="K56" s="714"/>
      <c r="L56" s="404"/>
      <c r="M56" s="404"/>
      <c r="N56" s="408"/>
      <c r="O56" s="714"/>
      <c r="P56" s="714"/>
      <c r="Q56" s="404"/>
      <c r="R56" s="404"/>
    </row>
    <row r="57" spans="1:18" s="387" customFormat="1" ht="36.75" customHeight="1" x14ac:dyDescent="0.25">
      <c r="A57" s="400"/>
      <c r="B57" s="401" t="s">
        <v>122</v>
      </c>
      <c r="C57" s="709">
        <f>C51*0.1%</f>
        <v>486208</v>
      </c>
      <c r="D57" s="710"/>
      <c r="E57" s="402">
        <f>C57/$C$51</f>
        <v>1E-3</v>
      </c>
      <c r="F57" s="402">
        <f>C57/$C$52</f>
        <v>1.3614726443510854E-3</v>
      </c>
      <c r="J57" s="363"/>
      <c r="K57" s="363"/>
      <c r="L57" s="404"/>
      <c r="M57" s="404"/>
      <c r="N57" s="408"/>
      <c r="O57" s="363"/>
      <c r="P57" s="363"/>
      <c r="Q57" s="404"/>
      <c r="R57" s="404"/>
    </row>
    <row r="58" spans="1:18" s="387" customFormat="1" ht="36.75" customHeight="1" x14ac:dyDescent="0.25">
      <c r="A58" s="400"/>
      <c r="B58" s="401" t="s">
        <v>123</v>
      </c>
      <c r="C58" s="709"/>
      <c r="D58" s="710"/>
      <c r="E58" s="402"/>
      <c r="F58" s="402"/>
      <c r="J58" s="363"/>
      <c r="K58" s="363"/>
      <c r="L58" s="404"/>
      <c r="M58" s="404"/>
      <c r="N58" s="408"/>
      <c r="O58" s="363"/>
      <c r="P58" s="363"/>
      <c r="Q58" s="404"/>
      <c r="R58" s="404"/>
    </row>
    <row r="59" spans="1:18" s="387" customFormat="1" ht="36.75" customHeight="1" x14ac:dyDescent="0.25">
      <c r="A59" s="384">
        <v>3</v>
      </c>
      <c r="B59" s="385" t="s">
        <v>124</v>
      </c>
      <c r="C59" s="705">
        <f>SUM(C60:D62)</f>
        <v>22586240</v>
      </c>
      <c r="D59" s="706"/>
      <c r="E59" s="394">
        <f>C59/$C$51</f>
        <v>4.6453863367118597E-2</v>
      </c>
      <c r="F59" s="409">
        <f>C59/$C$52</f>
        <v>6.3245664198754978E-2</v>
      </c>
      <c r="I59" s="388"/>
      <c r="J59" s="396"/>
      <c r="K59" s="396"/>
      <c r="L59" s="397"/>
      <c r="M59" s="216"/>
      <c r="N59" s="391"/>
      <c r="O59" s="398"/>
      <c r="P59" s="398"/>
      <c r="Q59" s="399"/>
      <c r="R59" s="212"/>
    </row>
    <row r="60" spans="1:18" s="387" customFormat="1" ht="36.75" customHeight="1" x14ac:dyDescent="0.25">
      <c r="A60" s="400"/>
      <c r="B60" s="401" t="s">
        <v>125</v>
      </c>
      <c r="C60" s="709">
        <f>C51*0.03</f>
        <v>14586240</v>
      </c>
      <c r="D60" s="710"/>
      <c r="E60" s="402">
        <f>C60/$C$51</f>
        <v>0.03</v>
      </c>
      <c r="F60" s="402">
        <f>C60/$C$52</f>
        <v>4.0844179330532561E-2</v>
      </c>
      <c r="J60" s="711"/>
      <c r="K60" s="711"/>
      <c r="L60" s="404"/>
      <c r="M60" s="212"/>
      <c r="N60" s="407"/>
      <c r="O60" s="711"/>
      <c r="P60" s="711"/>
      <c r="Q60" s="404"/>
      <c r="R60" s="212"/>
    </row>
    <row r="61" spans="1:18" s="387" customFormat="1" ht="36.75" customHeight="1" x14ac:dyDescent="0.25">
      <c r="A61" s="400"/>
      <c r="B61" s="401" t="s">
        <v>126</v>
      </c>
      <c r="C61" s="709">
        <v>8000000</v>
      </c>
      <c r="D61" s="710"/>
      <c r="E61" s="402">
        <f>C61/$C$51</f>
        <v>1.6453863367118599E-2</v>
      </c>
      <c r="F61" s="402">
        <f>C61/$C$52</f>
        <v>2.2401484868222413E-2</v>
      </c>
      <c r="J61" s="711"/>
      <c r="K61" s="711"/>
      <c r="L61" s="404"/>
      <c r="M61" s="212"/>
      <c r="N61" s="407"/>
      <c r="O61" s="711"/>
      <c r="P61" s="711"/>
      <c r="Q61" s="404"/>
      <c r="R61" s="212"/>
    </row>
    <row r="62" spans="1:18" s="387" customFormat="1" ht="36.75" customHeight="1" x14ac:dyDescent="0.25">
      <c r="A62" s="400"/>
      <c r="B62" s="401" t="s">
        <v>127</v>
      </c>
      <c r="C62" s="712"/>
      <c r="D62" s="713"/>
      <c r="E62" s="402"/>
      <c r="F62" s="410"/>
      <c r="J62" s="714"/>
      <c r="K62" s="714"/>
      <c r="L62" s="404"/>
      <c r="M62" s="212"/>
      <c r="N62" s="408"/>
      <c r="O62" s="714"/>
      <c r="P62" s="714"/>
      <c r="Q62" s="404"/>
      <c r="R62" s="212"/>
    </row>
    <row r="63" spans="1:18" s="387" customFormat="1" ht="36.75" customHeight="1" x14ac:dyDescent="0.25">
      <c r="A63" s="384">
        <v>3</v>
      </c>
      <c r="B63" s="385" t="s">
        <v>38</v>
      </c>
      <c r="C63" s="705">
        <f>SUM(C64:C66)</f>
        <v>9212415.2295081969</v>
      </c>
      <c r="D63" s="706"/>
      <c r="E63" s="394">
        <f>C63/$C$51</f>
        <v>1.8947477683436301E-2</v>
      </c>
      <c r="F63" s="409">
        <f>C63/$C$52</f>
        <v>2.5796472545451199E-2</v>
      </c>
      <c r="I63" s="388"/>
      <c r="J63" s="707"/>
      <c r="K63" s="707"/>
      <c r="L63" s="411"/>
      <c r="M63" s="390"/>
      <c r="N63" s="391"/>
      <c r="O63" s="708"/>
      <c r="P63" s="708"/>
      <c r="Q63" s="392"/>
      <c r="R63" s="393"/>
    </row>
    <row r="64" spans="1:18" s="387" customFormat="1" ht="36.75" customHeight="1" x14ac:dyDescent="0.25">
      <c r="A64" s="400"/>
      <c r="B64" s="401" t="s">
        <v>39</v>
      </c>
      <c r="C64" s="703">
        <f>(C46/12*C47)*C53</f>
        <v>5193246.2295081969</v>
      </c>
      <c r="D64" s="704"/>
      <c r="E64" s="412"/>
      <c r="F64" s="413"/>
      <c r="J64" s="702"/>
      <c r="K64" s="702"/>
      <c r="L64" s="414"/>
      <c r="M64" s="404"/>
      <c r="N64" s="407"/>
      <c r="O64" s="702"/>
      <c r="P64" s="702"/>
      <c r="Q64" s="414"/>
      <c r="R64" s="404"/>
    </row>
    <row r="65" spans="1:29" s="387" customFormat="1" ht="36.75" customHeight="1" x14ac:dyDescent="0.25">
      <c r="A65" s="400"/>
      <c r="B65" s="401" t="s">
        <v>40</v>
      </c>
      <c r="C65" s="703">
        <f>C55*(C46/12*C47)</f>
        <v>1345025</v>
      </c>
      <c r="D65" s="704"/>
      <c r="E65" s="412"/>
      <c r="F65" s="413"/>
      <c r="J65" s="702"/>
      <c r="K65" s="702"/>
      <c r="L65" s="414"/>
      <c r="M65" s="404"/>
      <c r="N65" s="407"/>
      <c r="O65" s="702"/>
      <c r="P65" s="702"/>
      <c r="Q65" s="414"/>
      <c r="R65" s="404"/>
    </row>
    <row r="66" spans="1:29" s="212" customFormat="1" ht="36.75" customHeight="1" x14ac:dyDescent="0.25">
      <c r="A66" s="400"/>
      <c r="B66" s="401" t="s">
        <v>59</v>
      </c>
      <c r="C66" s="703">
        <f>C46/12*C49*E48</f>
        <v>2674144</v>
      </c>
      <c r="D66" s="704"/>
      <c r="E66" s="415" t="s">
        <v>53</v>
      </c>
      <c r="F66" s="415"/>
      <c r="I66" s="231"/>
      <c r="J66" s="702"/>
      <c r="K66" s="702"/>
      <c r="L66" s="416"/>
      <c r="M66" s="416"/>
      <c r="N66" s="417"/>
      <c r="O66" s="702"/>
      <c r="P66" s="702"/>
      <c r="Q66" s="416"/>
      <c r="R66" s="416"/>
    </row>
    <row r="67" spans="1:29" s="212" customFormat="1" ht="36.75" customHeight="1" x14ac:dyDescent="0.25">
      <c r="A67" s="400"/>
      <c r="B67" s="401" t="s">
        <v>135</v>
      </c>
      <c r="C67" s="697"/>
      <c r="D67" s="698"/>
      <c r="E67" s="415"/>
      <c r="F67" s="415"/>
      <c r="J67" s="699"/>
      <c r="K67" s="699"/>
      <c r="L67" s="418"/>
      <c r="M67" s="418"/>
      <c r="N67" s="417"/>
      <c r="O67" s="699"/>
      <c r="P67" s="699"/>
      <c r="Q67" s="418"/>
      <c r="R67" s="418"/>
    </row>
    <row r="68" spans="1:29" s="387" customFormat="1" ht="54.75" customHeight="1" x14ac:dyDescent="0.25">
      <c r="A68" s="384">
        <v>4</v>
      </c>
      <c r="B68" s="419" t="s">
        <v>128</v>
      </c>
      <c r="C68" s="693">
        <f>C51-C52-C59</f>
        <v>106502575.84500742</v>
      </c>
      <c r="D68" s="694"/>
      <c r="E68" s="394">
        <f>C68/$C$51</f>
        <v>0.21904735389999222</v>
      </c>
      <c r="F68" s="409">
        <f>C68/$C$52</f>
        <v>0.29822698015233046</v>
      </c>
      <c r="I68" s="388"/>
      <c r="J68" s="420"/>
      <c r="K68" s="420"/>
      <c r="L68" s="397"/>
      <c r="M68" s="216"/>
      <c r="N68" s="391"/>
      <c r="O68" s="421"/>
      <c r="P68" s="421"/>
      <c r="Q68" s="399"/>
      <c r="R68" s="212"/>
    </row>
    <row r="69" spans="1:29" s="387" customFormat="1" ht="54.75" customHeight="1" x14ac:dyDescent="0.25">
      <c r="A69" s="384">
        <v>5</v>
      </c>
      <c r="B69" s="419" t="s">
        <v>129</v>
      </c>
      <c r="C69" s="693">
        <f>C68-C63</f>
        <v>97290160.615499228</v>
      </c>
      <c r="D69" s="694"/>
      <c r="E69" s="394">
        <f>C69/$C$51</f>
        <v>0.20009987621655592</v>
      </c>
      <c r="F69" s="409">
        <f>C69/$C$52</f>
        <v>0.27243050760687926</v>
      </c>
      <c r="I69" s="388"/>
      <c r="J69" s="420"/>
      <c r="K69" s="420"/>
      <c r="L69" s="397"/>
      <c r="M69" s="216"/>
      <c r="N69" s="391"/>
      <c r="O69" s="421"/>
      <c r="P69" s="421"/>
      <c r="Q69" s="399"/>
      <c r="R69" s="212"/>
    </row>
    <row r="70" spans="1:29" s="387" customFormat="1" ht="72" customHeight="1" x14ac:dyDescent="0.25">
      <c r="A70" s="400"/>
      <c r="B70" s="422" t="s">
        <v>130</v>
      </c>
      <c r="C70" s="700">
        <f>SUM(C69,C59)*0.2</f>
        <v>23975280.123099849</v>
      </c>
      <c r="D70" s="701"/>
      <c r="E70" s="423"/>
      <c r="F70" s="402"/>
      <c r="J70" s="702"/>
      <c r="K70" s="702"/>
      <c r="L70" s="414"/>
      <c r="M70" s="404"/>
      <c r="N70" s="407"/>
      <c r="O70" s="702"/>
      <c r="P70" s="702"/>
      <c r="Q70" s="414"/>
      <c r="R70" s="404"/>
    </row>
    <row r="71" spans="1:29" s="387" customFormat="1" ht="36.75" customHeight="1" x14ac:dyDescent="0.25">
      <c r="A71" s="384">
        <v>6</v>
      </c>
      <c r="B71" s="419" t="s">
        <v>131</v>
      </c>
      <c r="C71" s="693">
        <f>C69-C70</f>
        <v>73314880.49239938</v>
      </c>
      <c r="D71" s="694"/>
      <c r="E71" s="394">
        <f>C71/C51</f>
        <v>0.15078912829982102</v>
      </c>
      <c r="F71" s="409">
        <f>C71/C52</f>
        <v>0.20529527324575242</v>
      </c>
      <c r="I71" s="388"/>
      <c r="J71" s="420"/>
      <c r="K71" s="420"/>
      <c r="L71" s="397"/>
      <c r="M71" s="216"/>
      <c r="N71" s="391"/>
      <c r="O71" s="421"/>
      <c r="P71" s="421"/>
      <c r="Q71" s="399"/>
      <c r="R71" s="212"/>
    </row>
    <row r="72" spans="1:29" s="149" customFormat="1" ht="36.75" customHeight="1" x14ac:dyDescent="0.4">
      <c r="A72" s="363"/>
      <c r="B72" s="424"/>
      <c r="E72" s="398"/>
      <c r="F72" s="398"/>
      <c r="G72" s="425"/>
      <c r="H72" s="399"/>
      <c r="J72" s="695">
        <v>45815</v>
      </c>
      <c r="K72" s="695"/>
      <c r="L72" s="695"/>
      <c r="O72" s="148"/>
    </row>
    <row r="73" spans="1:29" s="348" customFormat="1" ht="36.75" customHeight="1" x14ac:dyDescent="0.4">
      <c r="A73" s="426"/>
      <c r="B73" s="426" t="s">
        <v>72</v>
      </c>
      <c r="C73" s="427"/>
      <c r="D73" s="426" t="s">
        <v>132</v>
      </c>
      <c r="G73" s="426"/>
      <c r="H73" s="426" t="s">
        <v>133</v>
      </c>
      <c r="J73" s="696" t="s">
        <v>46</v>
      </c>
      <c r="K73" s="696"/>
      <c r="L73" s="696"/>
      <c r="O73" s="347"/>
    </row>
    <row r="74" spans="1:29" s="348" customFormat="1" ht="36.75" customHeight="1" x14ac:dyDescent="0.4">
      <c r="B74" s="428"/>
      <c r="C74" s="428"/>
      <c r="D74" s="428"/>
      <c r="G74" s="428"/>
      <c r="L74" s="363"/>
      <c r="O74" s="347"/>
    </row>
    <row r="75" spans="1:29" s="348" customFormat="1" ht="36.75" customHeight="1" x14ac:dyDescent="0.4">
      <c r="B75" s="428"/>
      <c r="C75" s="428"/>
      <c r="D75" s="428"/>
      <c r="G75" s="428"/>
      <c r="L75" s="363"/>
      <c r="O75" s="347"/>
    </row>
    <row r="76" spans="1:29" s="348" customFormat="1" ht="36.75" customHeight="1" x14ac:dyDescent="0.4">
      <c r="B76" s="428"/>
      <c r="C76" s="428"/>
      <c r="D76" s="428"/>
      <c r="G76" s="428"/>
      <c r="K76" s="387"/>
      <c r="L76" s="408"/>
      <c r="O76" s="347"/>
    </row>
    <row r="77" spans="1:29" s="348" customFormat="1" ht="36.75" customHeight="1" x14ac:dyDescent="0.4">
      <c r="B77" s="428"/>
      <c r="C77" s="428"/>
      <c r="D77" s="428"/>
      <c r="G77" s="428"/>
      <c r="K77" s="387"/>
      <c r="L77" s="408"/>
      <c r="O77" s="347"/>
    </row>
    <row r="78" spans="1:29" s="212" customFormat="1" ht="36.75" customHeight="1" x14ac:dyDescent="0.25">
      <c r="B78" s="426"/>
      <c r="C78" s="426"/>
      <c r="D78" s="426" t="s">
        <v>73</v>
      </c>
      <c r="G78" s="426"/>
      <c r="H78" s="426" t="s">
        <v>134</v>
      </c>
      <c r="J78" s="696" t="s">
        <v>47</v>
      </c>
      <c r="K78" s="696"/>
      <c r="L78" s="696"/>
      <c r="O78" s="187"/>
    </row>
    <row r="79" spans="1:29" s="149" customFormat="1" ht="36.75" customHeight="1" x14ac:dyDescent="0.4">
      <c r="J79" s="387"/>
      <c r="K79" s="387"/>
      <c r="L79" s="387"/>
      <c r="N79" s="408"/>
    </row>
    <row r="80" spans="1:29" s="149" customFormat="1" ht="36.75" customHeight="1" x14ac:dyDescent="0.4">
      <c r="C80" s="429"/>
      <c r="D80" s="430"/>
      <c r="H80" s="387"/>
      <c r="I80" s="387"/>
      <c r="J80" s="387"/>
      <c r="L80" s="408"/>
      <c r="M80" s="147"/>
      <c r="N80" s="148"/>
      <c r="O80" s="147"/>
      <c r="P80" s="148"/>
      <c r="U80" s="147"/>
      <c r="V80" s="152"/>
      <c r="X80" s="147"/>
      <c r="AA80" s="152"/>
      <c r="AB80" s="147"/>
      <c r="AC80" s="147"/>
    </row>
    <row r="81" spans="3:29" s="149" customFormat="1" ht="36.75" customHeight="1" x14ac:dyDescent="0.4">
      <c r="C81" s="429"/>
      <c r="D81" s="430"/>
      <c r="H81" s="387"/>
      <c r="I81" s="387"/>
      <c r="J81" s="387"/>
      <c r="L81" s="408"/>
      <c r="M81" s="147"/>
      <c r="N81" s="148"/>
      <c r="O81" s="147"/>
      <c r="P81" s="148"/>
      <c r="U81" s="147"/>
      <c r="V81" s="152"/>
      <c r="X81" s="147"/>
      <c r="AA81" s="152"/>
      <c r="AB81" s="147"/>
      <c r="AC81" s="147"/>
    </row>
    <row r="82" spans="3:29" s="149" customFormat="1" ht="36.75" customHeight="1" x14ac:dyDescent="0.4">
      <c r="C82" s="429"/>
      <c r="D82" s="430"/>
      <c r="H82" s="387"/>
      <c r="I82" s="387"/>
      <c r="J82" s="387"/>
      <c r="L82" s="408"/>
      <c r="M82" s="147"/>
      <c r="N82" s="148"/>
      <c r="O82" s="147"/>
      <c r="P82" s="148"/>
      <c r="U82" s="147"/>
      <c r="V82" s="152"/>
      <c r="X82" s="147"/>
      <c r="AA82" s="152"/>
      <c r="AB82" s="147"/>
      <c r="AC82" s="147"/>
    </row>
    <row r="83" spans="3:29" s="149" customFormat="1" ht="36.75" customHeight="1" x14ac:dyDescent="0.4">
      <c r="C83" s="429"/>
      <c r="D83" s="430"/>
      <c r="H83" s="387"/>
      <c r="I83" s="387"/>
      <c r="J83" s="387"/>
      <c r="L83" s="408"/>
      <c r="M83" s="147"/>
      <c r="N83" s="148"/>
      <c r="O83" s="147"/>
      <c r="P83" s="148"/>
      <c r="U83" s="147"/>
      <c r="V83" s="152"/>
      <c r="X83" s="147"/>
      <c r="AA83" s="152"/>
      <c r="AB83" s="147"/>
      <c r="AC83" s="147"/>
    </row>
    <row r="84" spans="3:29" s="149" customFormat="1" ht="36.75" customHeight="1" x14ac:dyDescent="0.4">
      <c r="C84" s="429"/>
      <c r="D84" s="430"/>
      <c r="H84" s="387"/>
      <c r="I84" s="387"/>
      <c r="J84" s="387"/>
      <c r="L84" s="408"/>
      <c r="M84" s="147"/>
      <c r="N84" s="148"/>
      <c r="O84" s="147"/>
      <c r="P84" s="148"/>
      <c r="U84" s="147"/>
      <c r="V84" s="152"/>
      <c r="X84" s="147"/>
      <c r="AA84" s="152"/>
      <c r="AB84" s="147"/>
      <c r="AC84" s="147"/>
    </row>
    <row r="85" spans="3:29" s="149" customFormat="1" ht="36.75" customHeight="1" x14ac:dyDescent="0.4">
      <c r="C85" s="429"/>
      <c r="D85" s="430"/>
      <c r="H85" s="387"/>
      <c r="I85" s="387"/>
      <c r="J85" s="387"/>
      <c r="L85" s="408"/>
      <c r="M85" s="147"/>
      <c r="N85" s="148"/>
      <c r="O85" s="147"/>
      <c r="P85" s="148"/>
      <c r="U85" s="147"/>
      <c r="V85" s="152"/>
      <c r="X85" s="147"/>
      <c r="AA85" s="152"/>
      <c r="AB85" s="147"/>
      <c r="AC85" s="147"/>
    </row>
    <row r="86" spans="3:29" x14ac:dyDescent="0.25">
      <c r="C86" s="3"/>
      <c r="D86" s="4"/>
    </row>
    <row r="87" spans="3:29" x14ac:dyDescent="0.25">
      <c r="C87" s="3"/>
      <c r="D87" s="4"/>
    </row>
    <row r="88" spans="3:29" x14ac:dyDescent="0.25">
      <c r="C88" s="3"/>
      <c r="D88" s="4"/>
    </row>
    <row r="89" spans="3:29" x14ac:dyDescent="0.25">
      <c r="C89" s="3"/>
      <c r="D89" s="4"/>
    </row>
  </sheetData>
  <dataConsolidate function="product" link="1">
    <dataRefs count="3">
      <dataRef ref="A30:H35" sheet="PTLL" r:id="rId1"/>
      <dataRef ref="A30:XFD35" sheet="PTLL" r:id="rId2"/>
      <dataRef name="Thi công " r:id="rId3"/>
    </dataRefs>
  </dataConsolidate>
  <mergeCells count="63">
    <mergeCell ref="W3:W4"/>
    <mergeCell ref="C57:D57"/>
    <mergeCell ref="C66:D66"/>
    <mergeCell ref="C58:D58"/>
    <mergeCell ref="C60:D60"/>
    <mergeCell ref="C61:D61"/>
    <mergeCell ref="C62:D62"/>
    <mergeCell ref="C63:D63"/>
    <mergeCell ref="C64:D64"/>
    <mergeCell ref="C65:D65"/>
    <mergeCell ref="E46:F46"/>
    <mergeCell ref="E47:F47"/>
    <mergeCell ref="E48:F48"/>
    <mergeCell ref="E49:F49"/>
    <mergeCell ref="C52:D52"/>
    <mergeCell ref="O60:P60"/>
    <mergeCell ref="AA3:AA4"/>
    <mergeCell ref="AB3:AB4"/>
    <mergeCell ref="AD3:AD4"/>
    <mergeCell ref="X3:X4"/>
    <mergeCell ref="Y3:Y4"/>
    <mergeCell ref="Z3:Z4"/>
    <mergeCell ref="A1:L1"/>
    <mergeCell ref="V3:V4"/>
    <mergeCell ref="B2:B3"/>
    <mergeCell ref="A2:A3"/>
    <mergeCell ref="C2:C3"/>
    <mergeCell ref="D2:D3"/>
    <mergeCell ref="O61:P61"/>
    <mergeCell ref="J51:K51"/>
    <mergeCell ref="O51:P51"/>
    <mergeCell ref="J55:K55"/>
    <mergeCell ref="O55:P55"/>
    <mergeCell ref="J56:K56"/>
    <mergeCell ref="O56:P56"/>
    <mergeCell ref="O62:P62"/>
    <mergeCell ref="J63:K63"/>
    <mergeCell ref="O63:P63"/>
    <mergeCell ref="J64:K64"/>
    <mergeCell ref="O64:P64"/>
    <mergeCell ref="O70:P70"/>
    <mergeCell ref="J66:K66"/>
    <mergeCell ref="O66:P66"/>
    <mergeCell ref="J65:K65"/>
    <mergeCell ref="O65:P65"/>
    <mergeCell ref="J67:K67"/>
    <mergeCell ref="O67:P67"/>
    <mergeCell ref="J72:L72"/>
    <mergeCell ref="J73:L73"/>
    <mergeCell ref="J78:L78"/>
    <mergeCell ref="C51:D51"/>
    <mergeCell ref="C59:D59"/>
    <mergeCell ref="C69:D69"/>
    <mergeCell ref="C70:D70"/>
    <mergeCell ref="C71:D71"/>
    <mergeCell ref="J70:K70"/>
    <mergeCell ref="J62:K62"/>
    <mergeCell ref="J60:K60"/>
    <mergeCell ref="C53:D53"/>
    <mergeCell ref="C55:D55"/>
    <mergeCell ref="C67:D67"/>
    <mergeCell ref="C68:D68"/>
    <mergeCell ref="J61:K61"/>
  </mergeCells>
  <hyperlinks>
    <hyperlink ref="M34" r:id="rId4"/>
  </hyperlinks>
  <printOptions horizontalCentered="1"/>
  <pageMargins left="0.2" right="0.2" top="0.2" bottom="0" header="0" footer="0"/>
  <pageSetup paperSize="9" scale="34" fitToHeight="0" orientation="landscape" r:id="rId5"/>
  <headerFooter scaleWithDoc="0">
    <oddFooter>&amp;C&amp;"Times New Roman,Regular"&amp;8 92.2025/BG-TSI-SRR.E&amp;R&amp;"Times New Roman,Regular"&amp;8Trang &amp;P/&amp;N</oddFooter>
  </headerFooter>
  <rowBreaks count="2" manualBreakCount="2">
    <brk id="25" max="11" man="1"/>
    <brk id="4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BGCTLOVAD</vt:lpstr>
      <vt:lpstr>PTLL (3)</vt:lpstr>
      <vt:lpstr>UPDATE-94CAM</vt:lpstr>
      <vt:lpstr>UPDATE_CONGSUAT</vt:lpstr>
      <vt:lpstr>TÓM TẮT BG</vt:lpstr>
      <vt:lpstr>bgct</vt:lpstr>
      <vt:lpstr>Sheet1</vt:lpstr>
      <vt:lpstr>Sheet3</vt:lpstr>
      <vt:lpstr>PTLL (2)</vt:lpstr>
      <vt:lpstr>'PTLL (2)'!Print_Area</vt:lpstr>
      <vt:lpstr>'PTLL (2)'!Print_Titles</vt:lpstr>
      <vt:lpstr>'UPDATE-94CAM'!Print_Titles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cungung02</dc:creator>
  <cp:lastModifiedBy>lehoang</cp:lastModifiedBy>
  <cp:lastPrinted>2026-06-01T06:13:33Z</cp:lastPrinted>
  <dcterms:created xsi:type="dcterms:W3CDTF">2022-05-13T03:36:18Z</dcterms:created>
  <dcterms:modified xsi:type="dcterms:W3CDTF">2026-06-22T06:43:47Z</dcterms:modified>
</cp:coreProperties>
</file>